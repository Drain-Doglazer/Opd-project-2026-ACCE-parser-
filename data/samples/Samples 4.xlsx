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tony\Desktop\Данные_АССЕ\"/>
    </mc:Choice>
  </mc:AlternateContent>
  <xr:revisionPtr revIDLastSave="0" documentId="13_ncr:1_{2E97BCC8-2EF1-4694-8B7C-ACA3E1D95C1B}" xr6:coauthVersionLast="47" xr6:coauthVersionMax="47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6800_Перечень обор.ГСП-2" sheetId="1" r:id="rId1"/>
    <sheet name="Лист1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">#REF!</definedName>
    <definedName name="__________kvs2">{#N/A,#N/A,FALSE,"COVER1.XLS ";#N/A,#N/A,FALSE,"RACT1.XLS";#N/A,#N/A,FALSE,"RACT2.XLS";#N/A,#N/A,FALSE,"ECCMP";#N/A,#N/A,FALSE,"WELDER.XLS"}</definedName>
    <definedName name="_________PL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______PL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_____PL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___PL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__a1">{"'Sheet1'!$L$16"}</definedName>
    <definedName name="____a1_1">{"'Sheet1'!$L$16"}</definedName>
    <definedName name="____a1_2">{"'Sheet1'!$L$16"}</definedName>
    <definedName name="____PK2">{"'장비'!$A$3:$M$12"}</definedName>
    <definedName name="____PK2_1">{"'장비'!$A$3:$M$12"}</definedName>
    <definedName name="____PK2_2">{"'장비'!$A$3:$M$12"}</definedName>
    <definedName name="____PKG3">{"'장비'!$A$3:$M$12"}</definedName>
    <definedName name="____PKG3_1">{"'장비'!$A$3:$M$12"}</definedName>
    <definedName name="____PKG3_2">{"'장비'!$A$3:$M$12"}</definedName>
    <definedName name="____qqq222">{"'장비'!$A$3:$M$12"}</definedName>
    <definedName name="____qqq222_1">{"'장비'!$A$3:$M$12"}</definedName>
    <definedName name="____qqq222_2">{"'장비'!$A$3:$M$12"}</definedName>
    <definedName name="____xlfn.BAHTTEXT" hidden="1">#NAME?</definedName>
    <definedName name="___can430">40.73</definedName>
    <definedName name="___can435">43.3</definedName>
    <definedName name="___PK2">{"'장비'!$A$3:$M$12"}</definedName>
    <definedName name="___PK2_1">{"'장비'!$A$3:$M$12"}</definedName>
    <definedName name="___PK2_2">{"'장비'!$A$3:$M$12"}</definedName>
    <definedName name="___PKG3">{"'장비'!$A$3:$M$12"}</definedName>
    <definedName name="___PKG3_1">{"'장비'!$A$3:$M$12"}</definedName>
    <definedName name="___PKG3_2">{"'장비'!$A$3:$M$12"}</definedName>
    <definedName name="___PL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_qqq222">{"'장비'!$A$3:$M$12"}</definedName>
    <definedName name="___qqq222_1">{"'장비'!$A$3:$M$12"}</definedName>
    <definedName name="___qqq222_2">{"'장비'!$A$3:$M$12"}</definedName>
    <definedName name="___xlfn.BAHTTEXT" hidden="1">#NAME?</definedName>
    <definedName name="__123Graph_AGASDIES">[1]OECD!$L$57:$AF$57</definedName>
    <definedName name="__123Graph_AMANO">#REF!</definedName>
    <definedName name="__123Graph_AMTCONS">[1]OECD!$L$37:$AF$37</definedName>
    <definedName name="__123Graph_AOECDPARC">[1]OECD!$L$26:$AF$26</definedName>
    <definedName name="__123Graph_ART1">[1]OECD!$L$59:$AF$59</definedName>
    <definedName name="__123Graph_ART10">[2]UK!$L$57:$AF$57</definedName>
    <definedName name="__123Graph_ART11">[3]Italy!$L$12:$AF$12</definedName>
    <definedName name="__123Graph_ART12">[3]Italy!$L$26:$AF$26</definedName>
    <definedName name="__123Graph_ART13">[3]Italy!$L$57:$AF$57</definedName>
    <definedName name="__123Graph_ART14">[4]Spain!$L$12:$AF$12</definedName>
    <definedName name="__123Graph_ART15">[4]Spain!$L$57:$AF$57</definedName>
    <definedName name="__123Graph_ART2">[1]OECD!$L$59:$AF$59</definedName>
    <definedName name="__123Graph_ART22">[1]OECD!$L$62:$AF$62</definedName>
    <definedName name="__123Graph_ART6">[5]Japan!$L$14:$AF$14</definedName>
    <definedName name="__123Graph_ART7">[5]Japan!$L$56:$AF$56</definedName>
    <definedName name="__123Graph_ART8">[5]Japan!$L$133:$AF$133</definedName>
    <definedName name="__123Graph_ART9">[2]UK!$L$12:$AF$12</definedName>
    <definedName name="__123Graph_AUKROAD">[2]UK!$E$57:$AB$57</definedName>
    <definedName name="__123Graph_BGASDIES">[1]OECD!$L$63:$AF$63</definedName>
    <definedName name="__123Graph_BMANO">#REF!</definedName>
    <definedName name="__123Graph_BOECDPARC">[1]OECD!$L$24:$AF$24</definedName>
    <definedName name="__123Graph_BRT1">[1]OECD!$L$63:$AF$63</definedName>
    <definedName name="__123Graph_BRT10">[2]UK!$L$63:$AF$63</definedName>
    <definedName name="__123Graph_BRT11">[3]Italy!$L$26:$AF$26</definedName>
    <definedName name="__123Graph_BRT12">[3]Italy!$L$24:$AF$24</definedName>
    <definedName name="__123Graph_BRT13">[3]Italy!$L$63:$AF$63</definedName>
    <definedName name="__123Graph_BRT14">[4]Spain!$L$26:$AF$26</definedName>
    <definedName name="__123Graph_BRT15">[4]Spain!$L$63:$AF$63</definedName>
    <definedName name="__123Graph_BRT2">[1]OECD!$L$63:$AF$63</definedName>
    <definedName name="__123Graph_BRT22">[1]OECD!$L$61:$AF$61</definedName>
    <definedName name="__123Graph_BRT6">[5]Japan!$L$56:$AF$56</definedName>
    <definedName name="__123Graph_BRT7">[5]Japan!$L$53:$AF$53</definedName>
    <definedName name="__123Graph_BRT8">[5]Japan!$L$135:$AF$135</definedName>
    <definedName name="__123Graph_BRT9">[2]UK!$L$26:$AF$26</definedName>
    <definedName name="__123Graph_BUKROAD">[2]UK!$E$63:$AB$63</definedName>
    <definedName name="__123Graph_CMANO">#REF!</definedName>
    <definedName name="__123Graph_COECDPARC">[1]OECD!$L$25:$AF$25</definedName>
    <definedName name="__123Graph_CRT1">[1]OECD!$L$67:$AF$67</definedName>
    <definedName name="__123Graph_CRT10">[2]UK!$L$27:$L$27</definedName>
    <definedName name="__123Graph_CRT11">[3]Italy!$L$24:$AF$24</definedName>
    <definedName name="__123Graph_CRT12">[3]Italy!$L$25:$AF$25</definedName>
    <definedName name="__123Graph_CRT13">[3]Italy!$L$67:$AF$67</definedName>
    <definedName name="__123Graph_CRT14">[4]Spain!$L$24:$AF$24</definedName>
    <definedName name="__123Graph_CRT15">[4]Spain!$L$262:$L$262</definedName>
    <definedName name="__123Graph_CRT2">[1]OECD!$L$67:$AF$67</definedName>
    <definedName name="__123Graph_CRT6">[5]Japan!$L$53:$AF$53</definedName>
    <definedName name="__123Graph_CRT7">[5]Japan!$L$57:$L$57</definedName>
    <definedName name="__123Graph_CRT9">[2]UK!$L$24:$AF$24</definedName>
    <definedName name="__123Graph_DPHIS">#REF!</definedName>
    <definedName name="__123Graph_DRT1">[1]OECD!$X$60:$X$60</definedName>
    <definedName name="__123Graph_DRT11">[3]Italy!$L$25:$AF$25</definedName>
    <definedName name="__123Graph_DRT12">[3]Italy!$L$27:$L$27</definedName>
    <definedName name="__123Graph_DRT13">[3]Italy!$L$27:$L$27</definedName>
    <definedName name="__123Graph_DRT2">[1]OECD!$X$60:$X$60</definedName>
    <definedName name="__123Graph_EPHIS">#REF!</definedName>
    <definedName name="__123Graph_ERT1">[1]OECD!$X$66:$X$66</definedName>
    <definedName name="__123Graph_ERT2">[1]OECD!$X$66:$X$66</definedName>
    <definedName name="__123Graph_FPHIS">#REF!</definedName>
    <definedName name="__123Graph_FRT1">[1]OECD!$X$262:$X$262</definedName>
    <definedName name="__123Graph_FRT2">[1]OECD!$X$262:$X$262</definedName>
    <definedName name="__123Graph_XDIESPASS">[1]OECD!$L$3:$AF$3</definedName>
    <definedName name="__123Graph_XGASDIES">[1]OECD!$L$3:$AF$3</definedName>
    <definedName name="__123Graph_XMANO">#REF!</definedName>
    <definedName name="__123Graph_XMTCONS">[1]OECD!$L$3:$AF$3</definedName>
    <definedName name="__123Graph_XOECDGROW">[1]OECD!$L$3:$AF$3</definedName>
    <definedName name="__123Graph_XPHIS">#REF!</definedName>
    <definedName name="__123Graph_XRT10">[2]UK!$L$3:$AF$3</definedName>
    <definedName name="__123Graph_XRT12">[3]Italy!$L$3:$AF$3</definedName>
    <definedName name="__123Graph_XRT13">[3]Italy!$L$3:$AF$3</definedName>
    <definedName name="__123Graph_XRT15">[4]Spain!$L$3:$AF$3</definedName>
    <definedName name="__123Graph_XRT2">[1]OECD!$L$3:$AF$3</definedName>
    <definedName name="__123Graph_XRT7">[5]Japan!$L$3:$AF$3</definedName>
    <definedName name="__123Graph_XRT8">[5]Japan!$L$3:$AF$3</definedName>
    <definedName name="__a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a1_1">{"'Sheet1'!$L$16"}</definedName>
    <definedName name="__a1_2">{"'Sheet1'!$L$16"}</definedName>
    <definedName name="__a3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a5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can430">40.73</definedName>
    <definedName name="__can435">43.3</definedName>
    <definedName name="__d4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FDS_HYPERLINK_TOGGLE_STATE__">"ON"</definedName>
    <definedName name="__IntlFixup">TRUE</definedName>
    <definedName name="__PK2">{"'장비'!$A$3:$M$12"}</definedName>
    <definedName name="__PK2_1">{"'장비'!$A$3:$M$12"}</definedName>
    <definedName name="__PK2_2">{"'장비'!$A$3:$M$12"}</definedName>
    <definedName name="__PKG3">{"'장비'!$A$3:$M$12"}</definedName>
    <definedName name="__PKG3_1">{"'장비'!$A$3:$M$12"}</definedName>
    <definedName name="__PKG3_2">{"'장비'!$A$3:$M$12"}</definedName>
    <definedName name="__PL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qqq222">{"'장비'!$A$3:$M$12"}</definedName>
    <definedName name="__qqq222_1">{"'장비'!$A$3:$M$12"}</definedName>
    <definedName name="__qqq222_2">{"'장비'!$A$3:$M$12"}</definedName>
    <definedName name="__xlfn.BAHTTEXT" hidden="1">#NAME?</definedName>
    <definedName name="__z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1__123Graph_AOECD">[1]OECD!$L$31:$AF$31</definedName>
    <definedName name="_2__123Graph_BOECD">[1]OECD!$L$29:$AF$29</definedName>
    <definedName name="_3__123Graph_COECD">[1]OECD!$L$30:$AF$30</definedName>
    <definedName name="_4__123Graph_XOECD">[1]OECD!$L$3:$AF$3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can430">40.73</definedName>
    <definedName name="_can435">43.3</definedName>
    <definedName name="_Dist_Bin">#REF!</definedName>
    <definedName name="_Dist_Values">#REF!</definedName>
    <definedName name="_Fill">#REF!</definedName>
    <definedName name="_FilterDatabase">#REF!</definedName>
    <definedName name="_FilterDatabase1">#REF!</definedName>
    <definedName name="_Key1">#REF!</definedName>
    <definedName name="_Order1">255</definedName>
    <definedName name="_Order1_1">255</definedName>
    <definedName name="_Order2">255</definedName>
    <definedName name="_Order2_1">0</definedName>
    <definedName name="_ordr2">0</definedName>
    <definedName name="_ordwre2">0</definedName>
    <definedName name="_Parse_Out">#REF!</definedName>
    <definedName name="_PK2">{"'장비'!$A$3:$M$12"}</definedName>
    <definedName name="_PK2_1">{"'장비'!$A$3:$M$12"}</definedName>
    <definedName name="_PK2_2">{"'장비'!$A$3:$M$12"}</definedName>
    <definedName name="_PKG3">{"'장비'!$A$3:$M$12"}</definedName>
    <definedName name="_PKG3_1">{"'장비'!$A$3:$M$12"}</definedName>
    <definedName name="_PKG3_2">{"'장비'!$A$3:$M$12"}</definedName>
    <definedName name="_PL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qqq222">{"'장비'!$A$3:$M$12"}</definedName>
    <definedName name="_qqq222_1">{"'장비'!$A$3:$M$12"}</definedName>
    <definedName name="_qqq222_2">{"'장비'!$A$3:$M$12"}</definedName>
    <definedName name="_Regression_Int">1</definedName>
    <definedName name="_Regression_Out">#REF!</definedName>
    <definedName name="_Regression_X">#REF!</definedName>
    <definedName name="_Regression_Y">#REF!</definedName>
    <definedName name="_REV1">"Texte 161"</definedName>
    <definedName name="_REV2">"Texte 173"</definedName>
    <definedName name="_REV3">"Texte 167"</definedName>
    <definedName name="_REV4">"Texte 179"</definedName>
    <definedName name="_Sort">#REF!</definedName>
    <definedName name="_sort1">'[6]#ССЫЛКА'!$A$8:$C$98</definedName>
    <definedName name="_wrn1">{#N/A,#N/A,FALSE,"Шаблон_Спец1"}</definedName>
    <definedName name="_x">#REF!</definedName>
    <definedName name="_xlnm._FilterDatabase" localSheetId="0" hidden="1">'6800_Перечень обор.ГСП-2'!$A$6:$S$6</definedName>
    <definedName name="_xlnm._FilterDatabase" hidden="1">#REF!</definedName>
    <definedName name="_ФильтрБазыДанных1">#REF!</definedName>
    <definedName name="√">"SQRT"</definedName>
    <definedName name="aaa">"기술자료"</definedName>
    <definedName name="AAA_DOCTOPS">"AAA_SET"</definedName>
    <definedName name="AAA_duser">"OFF"</definedName>
    <definedName name="aaaaa">#REF!</definedName>
    <definedName name="aaafff">{"'장비'!$A$3:$M$12"}</definedName>
    <definedName name="aaafff_1">{"'장비'!$A$3:$M$12"}</definedName>
    <definedName name="aaafff_2">{"'장비'!$A$3:$M$12"}</definedName>
    <definedName name="AAB_Addin5">"AAB_Description for addin 5,Description for addin 5,Description for addin 5,Description for addin 5,Description for addin 5,Description for addin 5"</definedName>
    <definedName name="ab">{"Area1",#N/A,FALSE,"OREWACC";"Area2",#N/A,FALSE,"OREWACC"}</definedName>
    <definedName name="Access_Button">"КРС_98_план_NN_Таблица"</definedName>
    <definedName name="AccessDatabase">"C:\Documents and Settings\Baev\Мои документы\base model\эффективность upstream\расчет месторождения.mdb"</definedName>
    <definedName name="ActiveColumn">15</definedName>
    <definedName name="ActiveRow">15</definedName>
    <definedName name="ADEDQ">{"'장비'!$A$3:$M$12"}</definedName>
    <definedName name="ADITION">{"'장비'!$A$3:$M$12"}</definedName>
    <definedName name="ADITION_1">{"'장비'!$A$3:$M$12"}</definedName>
    <definedName name="ADITION_2">{"'장비'!$A$3:$M$12"}</definedName>
    <definedName name="aew">{"print95",#N/A,FALSE,"1995E.XLS";"print96",#N/A,FALSE,"1996E.XLS"}</definedName>
    <definedName name="agfg">{"'장비'!$A$3:$M$12"}</definedName>
    <definedName name="agfg_1">{"'장비'!$A$3:$M$12"}</definedName>
    <definedName name="agfg_2">{"'장비'!$A$3:$M$12"}</definedName>
    <definedName name="ANC">"Edit Box 57"</definedName>
    <definedName name="anscount">1</definedName>
    <definedName name="APPO">#REF!</definedName>
    <definedName name="APPROUVE1">"Texte 166"</definedName>
    <definedName name="APPROUVE2">"Texte 178"</definedName>
    <definedName name="APPROUVE3">"Texte 172"</definedName>
    <definedName name="APPROUVE4">"Texte 184"</definedName>
    <definedName name="AQE">{"'장비'!$A$3:$M$12"}</definedName>
    <definedName name="AQE_1">{"'장비'!$A$3:$M$12"}</definedName>
    <definedName name="AQE_2">{"'장비'!$A$3:$M$12"}</definedName>
    <definedName name="AS2DocOpenMode">"AS2DocumentEdit"</definedName>
    <definedName name="ASD">0</definedName>
    <definedName name="asdf">{"print95",#N/A,FALSE,"1995E.XLS";"print96",#N/A,FALSE,"1996E.XLS"}</definedName>
    <definedName name="asdfas">{"Table A,pg 1",#N/A,FALSE,"Table A-Prov GUR";"Table A,pg 2",#N/A,FALSE,"Table A-Prov GUR"}</definedName>
    <definedName name="AUTRE_REF">"Texte 152"</definedName>
    <definedName name="avc">{"UK CONS NOI",#N/A,FALSE,"Cons UK Income";#N/A,#N/A,FALSE,"Key Data";"UK CONS TOTAL BBLS",#N/A,FALSE,"Barrels";"UK CONS BBLS PER DAY",#N/A,FALSE,"Barrels"}</definedName>
    <definedName name="awq">{"print95",#N/A,FALSE,"1995E.XLS";"print96",#N/A,FALSE,"1996E.XLS"}</definedName>
    <definedName name="aws">{"print95",#N/A,FALSE,"1995E.XLS";"print96",#N/A,FALSE,"1996E.XLS"}</definedName>
    <definedName name="basin">{"'장비'!$A$3:$M$12"}</definedName>
    <definedName name="bb">{"TOTAL SALES AND MKT",#N/A,FALSE,"NOI";"TOTAL RETAIL",#N/A,FALSE,"NOI";"TOTAL COMMERCIAL",#N/A,FALSE,"NOI"}</definedName>
    <definedName name="BEx0017DGUEDPCFJUPUZOOLJCS2B">'[7]Exploration Cost centres NGS'!$I$9:$J$9</definedName>
    <definedName name="BEx001CNWHJ5RULCSFM36ZCGJ1UH">'[7]Exploration Cost centres NGS'!$F$11:$G$11</definedName>
    <definedName name="BEx004791UAJIJSN57OT7YBLNP82">'[7]Exploration Cost centres NGS'!$H$2:$I$2</definedName>
    <definedName name="BEx008P2NVFDLBHL7IZ5WTMVOQ1F">'[7]Exploration Cost centres NGS'!$E$1</definedName>
    <definedName name="BEx009G00IN0JUIAQ4WE9NHTMQE2">'[7]Exploration Cost centres NGS'!$I$8:$J$8</definedName>
    <definedName name="BEx00DXTY2JDVGWQKV8H7FG4SV30">'[7]Exploration Cost centres NGS'!$F$11:$G$11</definedName>
    <definedName name="BEx00GHLTYRH5N2S6P78YW1CD30N">'[7]Exploration Cost centres NGS'!$F$11:$G$11</definedName>
    <definedName name="BEx00JC31DY11L45SEU4B10BIN6W">'[7]Exploration Cost centres NGS'!$K$2</definedName>
    <definedName name="BEx00KZHZBHP3TDV1YMX4B19B95O">'[7]Exploration Cost centres NGS'!$E$1</definedName>
    <definedName name="BEx00MBY8XXUOHIZ4LHXHPD7WYD5">'[7]Exploration Cost centres NGS'!$F$7:$G$7</definedName>
    <definedName name="BEx01HY6E3GJ66ABU5ABN26V6Q13">'[7]Exploration Cost centres NGS'!$G$2</definedName>
    <definedName name="BEx01PW5YQKEGAR8JDDI5OARYXDF">'[7]Exploration Cost centres NGS'!$F$9:$G$9</definedName>
    <definedName name="BEx01XJ94SHJ1YQ7ORPW0RQGKI2H">'[7]Exploration Cost centres NGS'!$F$11:$G$11</definedName>
    <definedName name="BEx02Q08R9G839Q4RFGG9026C7PX">'[7]Exploration Cost centres NGS'!$E$1</definedName>
    <definedName name="BEx02SEL3Z1QWGAHXDPUA9WLTTPS">'[7]Exploration Cost centres NGS'!$F$11:$G$11</definedName>
    <definedName name="BEx02Y3KJZH5BGDM9QEZ1PVVI114">'[7]Exploration Cost centres NGS'!$F$8:$G$8</definedName>
    <definedName name="BEx0313GRLLASDTVPW5DHTXHE74M">'[7]Exploration Cost centres NGS'!$I$6:$J$6</definedName>
    <definedName name="BEx1F0SOZ3H5XUHXD7O01TCR8T6J">'[7]Exploration Cost centres NGS'!$F$10:$G$10</definedName>
    <definedName name="BEx1F9HL824UCNCVZ2U62J4KZCX8">'[7]Exploration Cost centres NGS'!$F$7:$G$7</definedName>
    <definedName name="BEx1FEVSJKTI1Q1Z874QZVFSJSVA">'[7]Exploration Cost centres NGS'!$I$6:$J$6</definedName>
    <definedName name="BEx1FGDRUHHLI1GBHELT4PK0LY4V">'[7]Exploration Cost centres NGS'!$I$9:$J$9</definedName>
    <definedName name="BEx1FJZ7GKO99IYTP6GGGF7EUL3Z">'[7]Exploration Cost centres NGS'!$I$7:$J$7</definedName>
    <definedName name="BEx1FZ9HR96Z6JIFIHBO3DSCJLNY">'[7]Exploration Cost centres NGS'!$F$9:$G$9</definedName>
    <definedName name="BEx1FZV2CM77TBH1R6YYV9P06KA2">'[7]Exploration Cost centres NGS'!$F$9:$G$9</definedName>
    <definedName name="BEx1G59AY8195JTUM6P18VXUFJ3E">'[7]Exploration Cost centres NGS'!$F$9:$G$9</definedName>
    <definedName name="BEx1GVMRHFXUP6XYYY9NR12PV5TF">'[7]Exploration Cost centres NGS'!$F$8:$G$8</definedName>
    <definedName name="BEx1H6KIT7BHUH6MDDWC935V9N47">'[7]Exploration Cost centres NGS'!$I$8:$J$8</definedName>
    <definedName name="BEx1HDGOOJ3SKHYMWUZJ1P0RQZ9N">'[7]Exploration Cost centres NGS'!$H$2:$I$2</definedName>
    <definedName name="BEx1HDM5ZXSJG6JQEMSFV52PZ10V">'[7]Exploration Cost centres NGS'!$I$9:$J$9</definedName>
    <definedName name="BEx1HETBBZVN5F43LKOFMC4QB0CR">'[7]Exploration Cost centres NGS'!$F$9:$G$9</definedName>
    <definedName name="BEx1HGWNWPLNXICOTP90TKQVVE4E">'[7]Exploration Cost centres NGS'!$H$2:$I$2</definedName>
    <definedName name="BEx1HIPLJZABY0EMUOTZN0EQMDPU">'[7]Exploration Cost centres NGS'!$F$7:$G$7</definedName>
    <definedName name="BEx1HO94JIRX219MPWMB5E5XZ04X">'[7]Exploration Cost centres NGS'!$F$10:$G$10</definedName>
    <definedName name="BEx1HQNF6KHM21E3XLW0NMSSEI9S">'[7]Exploration Cost centres NGS'!$F$9:$G$9</definedName>
    <definedName name="BEx1HSLNWIW4S97ZBYY7I7M5YVH4">'[7]Exploration Cost centres NGS'!$I$8:$J$8</definedName>
    <definedName name="BEx1I4QKTILCKZUSOJCVZN7SNHL5">'[7]Exploration Cost centres NGS'!$F$6:$G$6</definedName>
    <definedName name="BEx1IE0ZP7RIFM9FI24S9I6AAJ14">'[7]Exploration Cost centres NGS'!$F$15</definedName>
    <definedName name="BEx1IGQ5B697MNDOE06MVSR0H58E">'[7]Exploration Cost centres NGS'!$F$11:$G$11</definedName>
    <definedName name="BEx1IKRPW8MLB9Y485M1TL2IT9SH">'[7]Exploration Cost centres NGS'!$F$15</definedName>
    <definedName name="BEx1J0CSSHDJGBJUHVOEMCF2P4DL">'[7]Exploration Cost centres NGS'!$I$9:$J$9</definedName>
    <definedName name="BEx1J61RRF9LJ3V3R5OY3WJ6VBWR">'[7]Exploration Cost centres NGS'!$E$1</definedName>
    <definedName name="BEx1J7E8VCGLPYU82QXVUG5N3ZAI">'[7]Exploration Cost centres NGS'!$C$15:$D$29</definedName>
    <definedName name="BEx1JGE2YQWH8S25USOY08XVGO0D">'[7]Exploration Cost centres NGS'!$I$10:$J$10</definedName>
    <definedName name="BEx1JJJC9T1W7HY4V7HP1S1W4JO1">'[7]Exploration Cost centres NGS'!$F$10:$G$10</definedName>
    <definedName name="BEx1JKKZSJ7DI4PTFVI9VVFMB1X2">'[7]Exploration Cost centres NGS'!$F$6:$G$6</definedName>
    <definedName name="BEx1JUBQFRVMASSFK4B3V0AD7YP9">'[7]Exploration Cost centres NGS'!$I$7:$J$7</definedName>
    <definedName name="BEx1JXBM5W4YRWNQ0P95QQS6JWD6">'[7]Exploration Cost centres NGS'!$I$6:$J$6</definedName>
    <definedName name="BEx1KGY9QEHZ9QSARMQUTQKRK4UX">'[7]Exploration Cost centres NGS'!$I$8:$J$8</definedName>
    <definedName name="BEx1KKP1ELIF2UII2FWVGL7M1X7J">'[7]Exploration Cost centres NGS'!$F$10:$G$10</definedName>
    <definedName name="BEx1KUVWMB0QCWA3RBE4CADFVRIS">'[7]Exploration Cost centres NGS'!$F$15</definedName>
    <definedName name="BEx1L2OG1SDFK2TPXELJ77YP4NI2">'[7]Exploration Cost centres NGS'!$I$7:$J$7</definedName>
    <definedName name="BEx1L6Q60MWRDJB4L20LK0XPA0Z2">'[7]Exploration Cost centres NGS'!$I$9:$J$9</definedName>
    <definedName name="BEx1LD63FP2Z4BR9TKSHOZW9KKZ5">'[7]Exploration Cost centres NGS'!$G$2</definedName>
    <definedName name="BEx1LDMB9RW982DUILM2WPT5VWQ3">'[7]Exploration Cost centres NGS'!$H$2:$I$2</definedName>
    <definedName name="BEx1LRPGDQCOEMW8YT80J1XCDCIV">'[7]Exploration Cost centres NGS'!$F$6:$G$6</definedName>
    <definedName name="BEx1LRUSJW4JG54X07QWD9R27WV9">'[7]Exploration Cost centres NGS'!$E$1</definedName>
    <definedName name="BEx1M1WBK5T0LP1AK2JYV6W87ID6">'[7]Exploration Cost centres NGS'!$F$10:$G$10</definedName>
    <definedName name="BEx1M51HHDYGIT8PON7U8ICL2S95">'[7]Exploration Cost centres NGS'!$F$10:$G$10</definedName>
    <definedName name="BEx1MTRKKVCHOZ0YGID6HZ49LJTO">'[7]Exploration Cost centres NGS'!$C$15:$D$29</definedName>
    <definedName name="BEx1N3CUJ3UX61X38ZAJVPEN4KMC">'[7]Exploration Cost centres NGS'!$K$2</definedName>
    <definedName name="BEx1NJE5094P7X8NG3RKCK78ILBX">'[7]Exploration Cost centres NGS'!$F$10:$G$10</definedName>
    <definedName name="BEx1NM34KQTO1LDNSAFD1L82UZFG">'[7]Exploration Cost centres NGS'!$F$15</definedName>
    <definedName name="BEx1NO6TXZVOGCUWCCRTXRXWW0XL">'[7]Exploration Cost centres NGS'!$I$10:$J$10</definedName>
    <definedName name="BEx1NS8EU5P9FQV3S0WRTXI5L361">'[7]Exploration Cost centres NGS'!$F$7:$G$7</definedName>
    <definedName name="BEx1NUBX5VUYZFKQH69FN6BTLWCR">'[7]Exploration Cost centres NGS'!$I$7:$J$7</definedName>
    <definedName name="BEx1NZ4K1L8UON80Y2A4RASKWGNP">'[7]Exploration Cost centres NGS'!$F$15:$G$16</definedName>
    <definedName name="BEx1OLAZ915OGYWP0QP1QQWDLCRX">'[7]Exploration Cost centres NGS'!$I$6:$J$6</definedName>
    <definedName name="BEx1OO5ER042IS6IC4TLDI75JNVH">'[7]Exploration Cost centres NGS'!$G$2</definedName>
    <definedName name="BEx1OTE54CBSUT8FWKRALEDCUWN4">'[7]Exploration Cost centres NGS'!$F$11:$G$11</definedName>
    <definedName name="BEx1OVSMPADTX95QUOX34KZQ8EDY">'[7]Exploration Cost centres NGS'!$I$11:$J$11</definedName>
    <definedName name="BEx1OX544IO9FQJI7YYQGZCEHB3O">'[7]Exploration Cost centres NGS'!$I$8:$J$8</definedName>
    <definedName name="BEx1OY6SVEUT2EQ26P7EKEND342G">'[7]Exploration Cost centres NGS'!$I$9:$J$9</definedName>
    <definedName name="BEx1OYN1LPIPI12O9G6F7QAOS9T4">'[7]Exploration Cost centres NGS'!$I$7:$J$7</definedName>
    <definedName name="BEx1P1HHKJA799O3YZXQAX6KFH58">'[7]Exploration Cost centres NGS'!$F$6:$G$6</definedName>
    <definedName name="BEx1P34W467WGPOXPK292QFJIPHJ">'[7]Exploration Cost centres NGS'!$H$2:$I$2</definedName>
    <definedName name="BEx1P7S1J4TKGVJ43C2Q2R3M9WRB">'[7]Exploration Cost centres NGS'!$I$6:$J$6</definedName>
    <definedName name="BEx1PA11BLPVZM8RC5BL46WX8YB5">'[7]Exploration Cost centres NGS'!$F$8:$G$8</definedName>
    <definedName name="BEx1PBZ4BEFIPGMQXT9T8S4PZ2IM">'[7]Exploration Cost centres NGS'!$F$10:$G$10</definedName>
    <definedName name="BEx1PLF2CFSXBZPVI6CJ534EIJDN">'[7]Exploration Cost centres NGS'!$I$8:$J$8</definedName>
    <definedName name="BEx1PMWZB2DO6EM9BKLUICZJ65HD">'[7]Exploration Cost centres NGS'!$I$10:$J$10</definedName>
    <definedName name="BEx1QA54J2A4I7IBQR19BTY28ZMR">'[7]Exploration Cost centres NGS'!$I$10:$J$10</definedName>
    <definedName name="BEx1QMQAHG3KQUK59DVM68SWKZIZ">'[7]Exploration Cost centres NGS'!$I$10:$J$10</definedName>
    <definedName name="BEx1R9YFKJCMSEST8OVCAO5E47FO">'[7]Exploration Cost centres NGS'!$F$9:$G$9</definedName>
    <definedName name="BEx1RBGC06B3T52OIC0EQ1KGVP1I">'[7]Exploration Cost centres NGS'!$F$10:$G$10</definedName>
    <definedName name="BEx1RRC7X4NI1CU4EO5XYE2GVARJ">'[7]Exploration Cost centres NGS'!$I$11:$J$11</definedName>
    <definedName name="BEx1RZA1NCGT832L7EMR7GMF588W">'[7]Exploration Cost centres NGS'!$I$10:$J$10</definedName>
    <definedName name="BEx1S0XGIPUSZQUCSGWSK10GKW7Y">'[7]Exploration Cost centres NGS'!$F$8:$G$8</definedName>
    <definedName name="BEx1S5VFNKIXHTTCWSV60UC50EZ8">'[7]Exploration Cost centres NGS'!$I$7:$J$7</definedName>
    <definedName name="BEx1SK3U02H0RGKEYXW7ZMCEOF3V">'[7]Exploration Cost centres NGS'!$E$2:$F$2</definedName>
    <definedName name="BEx1SSNEZINBJT29QVS62VS1THT4">'[7]Exploration Cost centres NGS'!$F$9:$G$9</definedName>
    <definedName name="BEx1SVNCHNANBJIDIQVB8AFK4HAN">'[7]Exploration Cost centres NGS'!$E$1</definedName>
    <definedName name="BEx1TJ0WLS9O7KNSGIPWTYHDYI1D">'[7]Exploration Cost centres NGS'!$C$15:$D$29</definedName>
    <definedName name="BEx1U15M7LVVFZENH830B2BGWC04">'[7]Exploration Cost centres NGS'!$F$6:$G$6</definedName>
    <definedName name="BEx1U7WFO8OZKB1EBF4H386JW91L">'[7]Exploration Cost centres NGS'!$I$9:$J$9</definedName>
    <definedName name="BEx1U87938YR9N6HYI24KVBKLOS3">'[7]Exploration Cost centres NGS'!$G$2</definedName>
    <definedName name="BEx1UESH4KDWHYESQU2IE55RS3LI">'[7]Exploration Cost centres NGS'!$F$11:$G$11</definedName>
    <definedName name="BEx1UI8N9KTCPSOJ7RDW0T8UEBNP">'[7]Exploration Cost centres NGS'!$F$10:$G$10</definedName>
    <definedName name="BEx1UML0HHJFHA5TBOYQ24I3RV1W">'[7]Exploration Cost centres NGS'!$F$6:$G$6</definedName>
    <definedName name="BEx1UUDIQPZ23XQ79GUL0RAWRSCK">'[7]Exploration Cost centres NGS'!$I$7:$J$7</definedName>
    <definedName name="BEx1V67SEV778NVW68J8W5SND1J7">'[7]Exploration Cost centres NGS'!$I$9:$J$9</definedName>
    <definedName name="BEx1VIY9SQLRESD11CC4PHYT0XSG">'[7]Exploration Cost centres NGS'!$H$2:$I$2</definedName>
    <definedName name="BEx1WC67EH10SC38QWX3WEA5KH3A">'[7]Exploration Cost centres NGS'!$F$10:$G$10</definedName>
    <definedName name="BEx1WGYTKZZIPM1577W5FEYKFH3V">'[7]Exploration Cost centres NGS'!$F$15:$J$123</definedName>
    <definedName name="BEx1WHPURIV3D3PTJJ359H1OP7ZV">'[7]Exploration Cost centres NGS'!$E$1</definedName>
    <definedName name="BEx1WLWY2CR1WRD694JJSWSDFAIR">'[7]Exploration Cost centres NGS'!$I$7:$J$7</definedName>
    <definedName name="BEx1WMD1LWPWRIK6GGAJRJAHJM8I">'[7]Exploration Cost centres NGS'!$I$10:$J$10</definedName>
    <definedName name="BEx1WR0D41MR174LBF3P9E3K0J51">'[7]Exploration Cost centres NGS'!$F$7:$G$7</definedName>
    <definedName name="BEx1WUB1FAS5PHU33TJ60SUHR618">'[7]Exploration Cost centres NGS'!$I$8:$J$8</definedName>
    <definedName name="BEx1WX04G0INSPPG9NTNR3DYR6PZ">'[7]Exploration Cost centres NGS'!$I$11:$J$11</definedName>
    <definedName name="BEx1X3LHU9DPG01VWX2IF65TRATF">'[7]Exploration Cost centres NGS'!$F$8:$G$8</definedName>
    <definedName name="BEx1XK8AAMO0AH0Z1OUKW30CA7EQ">'[7]Exploration Cost centres NGS'!$H$2:$I$2</definedName>
    <definedName name="BEx1XL4MZ7C80495GHQRWOBS16PQ">'[7]Exploration Cost centres NGS'!$F$6:$G$6</definedName>
    <definedName name="BEx1Y2IGS2K95E1M51PEF9KJZ0KB">'[7]Exploration Cost centres NGS'!$F$15</definedName>
    <definedName name="BEx1Y3PKK83X2FN9SAALFHOWKMRQ">'[7]Exploration Cost centres NGS'!$F$9:$G$9</definedName>
    <definedName name="BEx1YL3DJ7Y4AZ01ERCOGW0FJ26T">'[7]Exploration Cost centres NGS'!$C$15:$D$29</definedName>
    <definedName name="BEx1Z2RYHSVD1H37817SN93VMURZ">'[7]Exploration Cost centres NGS'!$F$7:$G$7</definedName>
    <definedName name="BEx3AMAKWI6458B67VKZO56MCNJW">'[7]Exploration Cost centres NGS'!$H$2:$I$2</definedName>
    <definedName name="BEx3AOOVM42G82TNF53W0EKXLUSI">'[7]Exploration Cost centres NGS'!$E$1</definedName>
    <definedName name="BEx3AZH9W4SUFCAHNDOQ728R9V4L">'[7]Exploration Cost centres NGS'!$F$6:$G$6</definedName>
    <definedName name="BEx3BNR9ES4KY7Q1DK83KC5NDGL8">'[7]Exploration Cost centres NGS'!$E$2:$F$2</definedName>
    <definedName name="BEx3BQR5VZXNQ4H949ORM8ESU3B3">'[7]Exploration Cost centres NGS'!$C$15:$D$19</definedName>
    <definedName name="BEx3BTLL3ASJN134DLEQTQM70VZM">'[7]Exploration Cost centres NGS'!$F$6:$G$6</definedName>
    <definedName name="BEx3BW5CTV0DJU5AQS3ZQFK2VLF3">'[7]Exploration Cost centres NGS'!$I$8:$J$8</definedName>
    <definedName name="BEx3BYP0FG369M7G3JEFLMMXAKTS">'[7]Exploration Cost centres NGS'!$F$9:$G$9</definedName>
    <definedName name="BEx3C2QR0WUD19QSVO8EMIPNQJKH">'[7]Exploration Cost centres NGS'!$F$7:$G$7</definedName>
    <definedName name="BEx3CCS3VNR1KW2R7DKSQFZ17QW0">'[7]Exploration Cost centres NGS'!$I$10:$J$10</definedName>
    <definedName name="BEx3CKFCCPZZ6ROLAT5C1DZNIC1U">'[7]Exploration Cost centres NGS'!$H$2:$I$2</definedName>
    <definedName name="BEx3CO0SVO4WLH0DO43DCHYDTH1P">'[7]Exploration Cost centres NGS'!$F$15</definedName>
    <definedName name="BEx3D9G6QTSPF9UYI4X0XY0VE896">'[7]Exploration Cost centres NGS'!$F$6:$G$6</definedName>
    <definedName name="BEx3DCQU9PBRXIMLO62KS5RLH447">'[7]Exploration Cost centres NGS'!$I$11:$J$11</definedName>
    <definedName name="BEx3EF99FD6QNNCNOKDEE67JHTUJ">'[7]Exploration Cost centres NGS'!$I$9:$J$9</definedName>
    <definedName name="BEx3EHCSERZ2O2OAG8Y95UPG2IY9">'[7]Exploration Cost centres NGS'!$E$1</definedName>
    <definedName name="BEx3EJR3TCJDYS7ZXNDS5N9KTGIK">'[7]Exploration Cost centres NGS'!$F$8:$G$8</definedName>
    <definedName name="BEx3ELJTTBS6P05CNISMGOJOA60V">'[7]Exploration Cost centres NGS'!$I$9:$J$9</definedName>
    <definedName name="BEx3EQSLJBDDJRHNX19PBFCKNY2I">'[7]Exploration Cost centres NGS'!$F$11:$G$11</definedName>
    <definedName name="BEx3EUUAX947Q5N6MY6W0KSNY78Y">'[7]Exploration Cost centres NGS'!$I$7:$J$7</definedName>
    <definedName name="BEx3FHMD1P5XBCH23ZKIFO6ZTCNB">'[7]Exploration Cost centres NGS'!$I$6:$J$6</definedName>
    <definedName name="BEx3FI2G3YYIACQHXNXEA15M8ZK5">'[7]Exploration Cost centres NGS'!$F$11:$G$11</definedName>
    <definedName name="BEx3FJ9MHSLDK8W91GO85FX1GX57">'[7]Exploration Cost centres NGS'!$F$8:$G$8</definedName>
    <definedName name="BEx3FR251HFU7A33PU01SJUENL2B">'[7]Exploration Cost centres NGS'!$K$2</definedName>
    <definedName name="BEx3FX7EJL47JSLSWP3EOC265WAE">'[7]Exploration Cost centres NGS'!$C$15:$D$29</definedName>
    <definedName name="BEx3G201R8NLJ6FIHO2QS0SW9QVV">'[7]Exploration Cost centres NGS'!$H$2:$I$2</definedName>
    <definedName name="BEx3G2LL2II66XY5YCDPG4JE13A3">'[7]Exploration Cost centres NGS'!$F$9:$G$9</definedName>
    <definedName name="BEx3G2WA0DTYY9D8AGHHOBTPE2B2">'[7]Exploration Cost centres NGS'!$F$7:$G$7</definedName>
    <definedName name="BEx3GCXR6IAS0B6WJ03GJVH7CO52">'[7]Exploration Cost centres NGS'!$F$15</definedName>
    <definedName name="BEx3GEVV18SEQDI1JGY7EN6D1GT1">'[7]Exploration Cost centres NGS'!$E$1</definedName>
    <definedName name="BEx3GKFH64MKQX61S7DYTZ15JCPY">'[7]Exploration Cost centres NGS'!$G$2</definedName>
    <definedName name="BEx3GMJ1Y6UU02DLRL0QXCEKDA6C">'[7]Exploration Cost centres NGS'!$C$15:$D$29</definedName>
    <definedName name="BEx3GN4LY0135CBDIN1TU2UEODGF">'[7]Exploration Cost centres NGS'!$I$10:$J$10</definedName>
    <definedName name="BEx3GPDH2AH4QKT4OOSN563XUHBD">'[7]Exploration Cost centres NGS'!$I$9:$J$9</definedName>
    <definedName name="BEx3H5UX2GZFZZT657YR76RHW5I6">'[7]Exploration Cost centres NGS'!$C$15:$D$29</definedName>
    <definedName name="BEx3HMSEFOP6DBM4R97XA6B7NFG6">'[7]Exploration Cost centres NGS'!$F$8:$G$8</definedName>
    <definedName name="BEx3HWJ5SQSD2CVCQNR183X44FR8">'[7]Exploration Cost centres NGS'!$H$2:$I$2</definedName>
    <definedName name="BEx3I09YVXO0G4X7KGSA4WGORM35">'[7]Exploration Cost centres NGS'!$F$6:$G$6</definedName>
    <definedName name="BEx3ICF1GY8HQEBIU9S43PDJ90BX">'[7]Exploration Cost centres NGS'!$F$6:$G$6</definedName>
    <definedName name="BEx3IYAH2DEBFWO8F94H4MXE3RLY">'[7]Exploration Cost centres NGS'!$C$15:$D$29</definedName>
    <definedName name="BEx3IZXXSYEW50379N2EAFWO8DZV">'[7]Exploration Cost centres NGS'!$E$1</definedName>
    <definedName name="BEx3J1VZVGTKT4ATPO9O5JCSFTTR">'[7]Exploration Cost centres NGS'!$I$9:$J$9</definedName>
    <definedName name="BEx3JC2TY7JNAAC3L7QHVPQXLGQ8">'[7]Exploration Cost centres NGS'!$I$11:$J$11</definedName>
    <definedName name="BEx3JX23SYDIGOGM4Y0CQFBW8ZBV">'[7]Exploration Cost centres NGS'!$F$8:$G$8</definedName>
    <definedName name="BEx3JXCXCVBZJGV5VEG9MJEI01AL">'[7]Exploration Cost centres NGS'!$I$7:$J$7</definedName>
    <definedName name="BEx3JYK2N7X59TPJSKYZ77ENY8SS">'[7]Exploration Cost centres NGS'!$I$6:$J$6</definedName>
    <definedName name="BEx3K4EII7GU1CG0BN7UL15M6J8Z">'[7]Exploration Cost centres NGS'!$E$1</definedName>
    <definedName name="BEx3K4ZXQUQ2KYZF74B84SO48XMW">'[7]Exploration Cost centres NGS'!$I$9:$J$9</definedName>
    <definedName name="BEx3KEFXUCVNVPH7KSEGAZYX13B5">'[7]Exploration Cost centres NGS'!$F$6:$G$6</definedName>
    <definedName name="BEx3KFXUAF6YXAA47B7Q6X9B3VGB">'[7]Exploration Cost centres NGS'!$I$10:$J$10</definedName>
    <definedName name="BEx3KIXQYOGMPK4WJJAVBRX4NR28">'[7]Exploration Cost centres NGS'!$E$1</definedName>
    <definedName name="BEx3KJOMVOSFZVJUL3GKCNP6DQDS">'[7]Exploration Cost centres NGS'!$F$6:$G$6</definedName>
    <definedName name="BEx3KP2VRBMORK0QEAZUYCXL3DHJ">'[7]Exploration Cost centres NGS'!$I$6:$J$6</definedName>
    <definedName name="BEx3L4IN3LI4C26SITKTGAH27CDU">'[7]Exploration Cost centres NGS'!$F$15</definedName>
    <definedName name="BEx3L4YQ0J7ZU0M5QM6YIPCEYC9K">'[7]Exploration Cost centres NGS'!$E$1</definedName>
    <definedName name="BEx3L60DJOR7NQN42G7YSAODP1EX">'[7]Exploration Cost centres NGS'!$I$7:$J$7</definedName>
    <definedName name="BEx3L7D0PI38HWZ7VADU16C9E33D">'[7]Exploration Cost centres NGS'!$I$7:$J$7</definedName>
    <definedName name="BEx3LM1PR4Y7KINKMTMKR984GX8Q">'[7]Exploration Cost centres NGS'!$I$8:$J$8</definedName>
    <definedName name="BEx3LPCEZ1C0XEKNCM3YT09JWCUO">'[7]Exploration Cost centres NGS'!$I$10:$J$10</definedName>
    <definedName name="BEx3M1MR1K1NQD03H74BFWOK4MWQ">'[7]Exploration Cost centres NGS'!$F$15</definedName>
    <definedName name="BEx3M4H77MYUKOOD31H9F80NMVK8">'[7]Exploration Cost centres NGS'!$H$2:$I$2</definedName>
    <definedName name="BEx3M9VFX329PZWYC4DMZ6P3W9R2">'[7]Exploration Cost centres NGS'!$F$8:$G$8</definedName>
    <definedName name="BEx3MCQ0VEBV0CZXDS505L38EQ8N">'[7]Exploration Cost centres NGS'!$I$11:$J$11</definedName>
    <definedName name="BEx3MEYV5LQY0BAL7V3CFAFVOM3T">'[7]Exploration Cost centres NGS'!$I$9:$J$9</definedName>
    <definedName name="BEx3MREOFWJQEYMCMBL7ZE06NBN6">'[7]Exploration Cost centres NGS'!$G$2</definedName>
    <definedName name="BEx3NKXF7GYXHBK75UI6MDRUSU0J">'[7]Exploration Cost centres NGS'!$C$15:$D$29</definedName>
    <definedName name="BEx3NLIZ7PHF2XE59ECZ3MD04ZG1">'[7]Exploration Cost centres NGS'!$F$6:$G$6</definedName>
    <definedName name="BEx3NMQ4BVC94728AUM7CCX7UHTU">'[7]Exploration Cost centres NGS'!$F$15</definedName>
    <definedName name="BEx3NR2I4OUFP3Z2QZEDU2PIFIDI">'[7]Exploration Cost centres NGS'!$F$10:$G$10</definedName>
    <definedName name="BEx3O19B8FTTAPVT5DZXQGQXWFR8">'[7]Exploration Cost centres NGS'!$F$15</definedName>
    <definedName name="BEx3OJZSCGFRW7SVGBFI0X9DNVMM">'[7]Exploration Cost centres NGS'!$H$2:$I$2</definedName>
    <definedName name="BEx3ORSBUXAF21MKEY90YJV9AY9A">'[7]Exploration Cost centres NGS'!$G$2:$H$2</definedName>
    <definedName name="BEx3OV8BH6PYNZT7C246LOAU9SVX">'[7]Exploration Cost centres NGS'!$F$9:$G$9</definedName>
    <definedName name="BEx3OXRYJZUEY6E72UJU0PHLMYAR">'[7]Exploration Cost centres NGS'!$F$7:$G$7</definedName>
    <definedName name="BEx3P59TTRSGQY888P5C1O7M2PQT">'[7]Exploration Cost centres NGS'!$F$7:$G$7</definedName>
    <definedName name="BEx3PDNRRNKD5GOUBUQFXAHIXLD9">'[7]Exploration Cost centres NGS'!$I$6:$J$6</definedName>
    <definedName name="BEx3PDT8GNPWLLN02IH1XPV90XYK">'[7]Exploration Cost centres NGS'!$F$7:$G$7</definedName>
    <definedName name="BEx3PKEMDW8KZEP11IL927C5O7I2">'[7]Exploration Cost centres NGS'!$F$15</definedName>
    <definedName name="BEx3PKJZ1Z7L9S6KV8KXVS6B2FX4">'[7]Exploration Cost centres NGS'!$I$10:$J$10</definedName>
    <definedName name="BEx3PMNG53Z5HY138H99QOMTX8W3">'[7]Exploration Cost centres NGS'!$I$6:$J$6</definedName>
    <definedName name="BEx3PP1RRSFZ8UC0JC9R91W6LNKW">'[7]Exploration Cost centres NGS'!$I$7:$J$7</definedName>
    <definedName name="BEx3PVXYZC8WB9ZJE7OCKUXZ46EA">'[7]Exploration Cost centres NGS'!$H$2:$I$2</definedName>
    <definedName name="BEx3Q0VWPU5EQECK7MQ47TYJ3SWW">'[7]Exploration Cost centres NGS'!$F$15</definedName>
    <definedName name="BEx3Q7BZ9PUXK2RLIOFSIS9AHU1B">'[7]Exploration Cost centres NGS'!$F$9:$G$9</definedName>
    <definedName name="BEx3Q8J42S9VU6EAN2Y28MR6DF88">'[7]Exploration Cost centres NGS'!$I$9:$J$9</definedName>
    <definedName name="BEx3QEDFOYFY5NBTININ5W4RLD4Q">'[7]Exploration Cost centres NGS'!$F$11:$G$11</definedName>
    <definedName name="BEx3QIKJ3U962US1Q564NZDLU8LD">'[7]Exploration Cost centres NGS'!$F$6:$G$6</definedName>
    <definedName name="BEx3QR9D45DHW50VQ7Y3Q1AXPOB9">'[7]Exploration Cost centres NGS'!$F$10:$G$10</definedName>
    <definedName name="BEx3QSWT2S5KWG6U2V9711IYDQBM">'[7]Exploration Cost centres NGS'!$K$2</definedName>
    <definedName name="BEx3QVGG7Q2X4HZHJAM35A8T3VR7">'[7]Exploration Cost centres NGS'!$I$9:$J$9</definedName>
    <definedName name="BEx3R0JUB9YN8PHPPQTAMIT1IHWK">'[7]Exploration Cost centres NGS'!$F$10:$G$10</definedName>
    <definedName name="BEx3R81NFRO7M81VHVKOBFT0QBIL">'[7]Exploration Cost centres NGS'!$I$11:$J$11</definedName>
    <definedName name="BEx3RHC2ZD5UFS6QD4OPFCNNMWH1">'[7]Exploration Cost centres NGS'!$C$15:$D$29</definedName>
    <definedName name="BEx3RQ10QIWBAPHALAA91BUUCM2X">'[7]Exploration Cost centres NGS'!$H$2:$I$2</definedName>
    <definedName name="BEx3RSQ33ZE3TYBR3W5Q6JNFA1D3">'[7]Exploration Cost centres NGS'!$G$2:$H$2</definedName>
    <definedName name="BEx3RV4E1WT43SZBUN09RTB8EK1O">'[7]Exploration Cost centres NGS'!$F$6:$G$6</definedName>
    <definedName name="BEx3RXYU0QLFXSFTM5EB20GD03W5">'[7]Exploration Cost centres NGS'!$I$6:$J$6</definedName>
    <definedName name="BEx3RYKLC3QQO3XTUN7BEW2AQL98">'[7]Exploration Cost centres NGS'!$F$6:$G$6</definedName>
    <definedName name="BEx3SICJ45BYT6FHBER86PJT25FC">'[7]Exploration Cost centres NGS'!$I$11:$J$11</definedName>
    <definedName name="BEx3SMUCMJVGQ2H4EHQI5ZFHEF0P">'[7]Exploration Cost centres NGS'!$F$7:$G$7</definedName>
    <definedName name="BEx3SN56F03CPDRDA7LZ763V0N4I">'[7]Exploration Cost centres NGS'!$F$10:$G$10</definedName>
    <definedName name="BEx3SPE6N1ORXPRCDL3JPZD73Z9F">'[7]Exploration Cost centres NGS'!$F$10:$G$10</definedName>
    <definedName name="BEx3T29ZTULQE0OMSMWUMZDU9ZZ0">'[7]Exploration Cost centres NGS'!$F$9:$G$9</definedName>
    <definedName name="BEx3T6MJ1QDJ929WMUDVZ0O3UW0Y">'[7]Exploration Cost centres NGS'!$K$2</definedName>
    <definedName name="BEx3TPCSI16OAB2L9M9IULQMQ9J9">'[7]Exploration Cost centres NGS'!$F$7:$G$7</definedName>
    <definedName name="BEx3U64YUOZ419BAJS2W78UMATAW">'[7]Exploration Cost centres NGS'!$I$7:$J$7</definedName>
    <definedName name="BEx3U94WCEA5DKMWBEX1GU0LKYG2">'[7]Exploration Cost centres NGS'!$I$9:$J$9</definedName>
    <definedName name="BEx3U9VZ8SQVYS6ZA038J7AP7ZGW">'[7]Exploration Cost centres NGS'!$F$9:$G$9</definedName>
    <definedName name="BEx3UIQ5WRJBGNTFCCLOR4N7B1OQ">'[7]Exploration Cost centres NGS'!$H$2:$I$2</definedName>
    <definedName name="BEx3UJMIX2NUSSWGMSI25A5DM4CH">'[7]Exploration Cost centres NGS'!$I$7:$J$7</definedName>
    <definedName name="BEx3UKOCOQG7S1YQ436S997K1KWV">'[7]Exploration Cost centres NGS'!$I$6:$J$6</definedName>
    <definedName name="BEx3UYM19VIXLA0EU7LB9NHA77PB">'[7]Exploration Cost centres NGS'!$F$6:$G$6</definedName>
    <definedName name="BEx3VML7CG70HPISMVYIUEN3711Q">'[7]Exploration Cost centres NGS'!$H$2:$I$2</definedName>
    <definedName name="BEx56ZID5H04P9AIYLP1OASFGV56">'[7]Exploration Cost centres NGS'!$F$11:$G$11</definedName>
    <definedName name="BEx587EYSS57E3PI8DT973HLJM9E">'[7]Exploration Cost centres NGS'!$I$11:$J$11</definedName>
    <definedName name="BEx587KFQ3VKCOCY1SA5F24PQGUI">'[7]Exploration Cost centres NGS'!$F$11:$G$11</definedName>
    <definedName name="BEx58O780PQ05NF0Z1SKKRB3N099">'[7]Exploration Cost centres NGS'!$F$7:$G$7</definedName>
    <definedName name="BEx58XHO7ZULLF2EUD7YIS0MGQJ5">'[7]Exploration Cost centres NGS'!$C$15:$D$29</definedName>
    <definedName name="BEx58ZW0HAIGIPEX9CVA1PQQTR6X">'[7]Exploration Cost centres NGS'!$I$7:$J$7</definedName>
    <definedName name="BEx59BA1KH3RG6K1LHL7YS2VB79N">'[7]Exploration Cost centres NGS'!$F$11:$G$11</definedName>
    <definedName name="BEx59E9WABJP2TN71QAIKK79HPK9">'[7]Exploration Cost centres NGS'!$I$8:$J$8</definedName>
    <definedName name="BEx59P7MAPNU129ZTC5H3EH892G1">'[7]Exploration Cost centres NGS'!$F$15</definedName>
    <definedName name="BEx5A11WZRQSIE089QE119AOX9ZG">'[7]Exploration Cost centres NGS'!$I$7:$J$7</definedName>
    <definedName name="BEx5A7CIGCOTHJKHGUBDZG91JGPZ">'[7]Exploration Cost centres NGS'!$F$11:$G$11</definedName>
    <definedName name="BEx5A8UFLT2SWVSG5COFA9B8P376">'[7]Exploration Cost centres NGS'!$F$10:$G$10</definedName>
    <definedName name="BEx5AFFTN3IXIBHDKM0FYC4OFL1S">'[7]Exploration Cost centres NGS'!$G$2</definedName>
    <definedName name="BEx5AOFIO8KVRHIZ1RII337AA8ML">'[7]Exploration Cost centres NGS'!$I$7:$J$7</definedName>
    <definedName name="BEx5APRZ66L5BWHFE8E4YYNEDTI4">'[7]Exploration Cost centres NGS'!$G$2</definedName>
    <definedName name="BEx5AUVDSQ35VO4BD9AKKGBM5S7D">'[7]Exploration Cost centres NGS'!$F$9:$G$9</definedName>
    <definedName name="BEx5B4RHHX0J1BF2FZKEA0SPP29O">'[7]Exploration Cost centres NGS'!$I$8:$J$8</definedName>
    <definedName name="BEx5B5YMSWP0OVI5CIQRP5V18D0C">'[7]Exploration Cost centres NGS'!$I$8:$J$8</definedName>
    <definedName name="BEx5B825RW35M5H0UB2IZGGRS4ER">'[7]Exploration Cost centres NGS'!$F$15</definedName>
    <definedName name="BEx5BAWPMY0TL684WDXX6KKJLRCN">'[7]Exploration Cost centres NGS'!$F$10:$G$10</definedName>
    <definedName name="BEx5BBI61U4Y65GD0ARMTALPP7SJ">'[7]Exploration Cost centres NGS'!$F$9:$G$9</definedName>
    <definedName name="BEx5BDR56MEV4IHY6CIH2SVNG1UB">'[7]Exploration Cost centres NGS'!$F$8:$G$8</definedName>
    <definedName name="BEx5BESZC5H329SKHGJOHZFILYJJ">'[7]Exploration Cost centres NGS'!$I$6:$J$6</definedName>
    <definedName name="BEx5BHSQ42B50IU1TEQFUXFX9XQD">'[7]Exploration Cost centres NGS'!$C$15:$D$29</definedName>
    <definedName name="BEx5BKSM4UN4C1DM3EYKM79MRC5K">'[7]Exploration Cost centres NGS'!$F$6:$G$6</definedName>
    <definedName name="BEx5BNN8NPH9KVOBARB9CDD9WLB6">'[7]Exploration Cost centres NGS'!$F$9:$G$9</definedName>
    <definedName name="BEx5BYFMZ80TDDN2EZO8CF39AIAC">'[7]Exploration Cost centres NGS'!$F$15</definedName>
    <definedName name="BEx5C2BWFW6SHZBFDEISKGXHZCQW">'[7]Exploration Cost centres NGS'!$I$8:$J$8</definedName>
    <definedName name="BEx5C49ZFH8TO9ZU55729C3F7XG7">'[7]Exploration Cost centres NGS'!$F$9:$G$9</definedName>
    <definedName name="BEx5C8GZQK13G60ZM70P63I5OS0L">'[7]Exploration Cost centres NGS'!$F$10:$G$10</definedName>
    <definedName name="BEx5CAPTVN2NBT3UOMA1UFAL1C2R">'[7]Exploration Cost centres NGS'!$I$6:$J$6</definedName>
    <definedName name="BEx5CEM3SYF9XP0ZZVE0GEPCLV3F">'[7]Exploration Cost centres NGS'!$I$10:$J$10</definedName>
    <definedName name="BEx5CFYQ0F1Z6P8SCVJ0I3UPVFE4">'[7]Exploration Cost centres NGS'!$C$15:$D$29</definedName>
    <definedName name="BEx5CINUDCSDCAJSNNV7XVNU8Q79">'[7]Exploration Cost centres NGS'!$I$10:$J$10</definedName>
    <definedName name="BEx5CNLUIOYU8EODGA03Z3547I9T">'[7]Exploration Cost centres NGS'!$G$2:$H$2</definedName>
    <definedName name="BEx5CPEKNSJORIPFQC2E1LTRYY8L">'[7]Exploration Cost centres NGS'!$I$7:$J$7</definedName>
    <definedName name="BEx5CSUOL05D8PAM2TRDA9VRJT1O">'[7]Exploration Cost centres NGS'!$I$10:$J$10</definedName>
    <definedName name="BEx5CUNFOO4YDFJ22HCMI2QKIGKM">'[7]Exploration Cost centres NGS'!$F$10:$G$10</definedName>
    <definedName name="BEx5D8L47OF0WHBPFWXGZINZWUBZ">'[7]Exploration Cost centres NGS'!$I$10:$J$10</definedName>
    <definedName name="BEx5DAJAHQ2SKUPCKSCR3PYML67L">'[7]Exploration Cost centres NGS'!$I$8:$J$8</definedName>
    <definedName name="BEx5DC18JM1KJCV44PF18E0LNRKA">'[7]Exploration Cost centres NGS'!$F$8:$G$8</definedName>
    <definedName name="BEx5DJIZBTNS011R9IIG2OQ2L6ZX">'[7]Exploration Cost centres NGS'!$H$2:$I$2</definedName>
    <definedName name="BEx5E123OLO9WQUOIRIDJ967KAGK">'[7]Exploration Cost centres NGS'!$F$15</definedName>
    <definedName name="BEx5E2UU5NES6W779W2OZTZOB4O7">'[7]Exploration Cost centres NGS'!$I$10:$J$10</definedName>
    <definedName name="BEx5E4CSE5G83J5K32WENF7BXL82">'[7]Exploration Cost centres NGS'!$F$6:$G$6</definedName>
    <definedName name="BEx5ELQL9B0VR6UT18KP11DHOTFX">'[7]Exploration Cost centres NGS'!$I$10:$J$10</definedName>
    <definedName name="BEx5ER4TJTFPN7IB1MNEB1ZFR5M6">'[7]Exploration Cost centres NGS'!$H$2:$I$2</definedName>
    <definedName name="BEx5F6V72QTCK7O39Y59R0EVM6CW">'[7]Exploration Cost centres NGS'!$I$8:$J$8</definedName>
    <definedName name="BEx5FGLQVACD5F5YZG4DGSCHCGO2">'[7]Exploration Cost centres NGS'!$H$2:$I$2</definedName>
    <definedName name="BEx5FLJWHLW3BTZILDPN5NMA449V">'[7]Exploration Cost centres NGS'!$I$6:$J$6</definedName>
    <definedName name="BEx5FNI2O10YN2SI1NO4X5GP3GTF">'[7]Exploration Cost centres NGS'!$F$10:$G$10</definedName>
    <definedName name="BEx5FO8YRFSZCG3L608EHIHIHFY4">'[7]Exploration Cost centres NGS'!$E$1</definedName>
    <definedName name="BEx5FQNA6V4CNYSH013K45RI4BCV">'[7]Exploration Cost centres NGS'!$F$8:$G$8</definedName>
    <definedName name="BEx5FVQPPEU32CPNV9RRQ9MNLLVE">'[7]Exploration Cost centres NGS'!$H$2:$I$2</definedName>
    <definedName name="BEx5G08KGMG5X2AQKDGPFYG5GH94">'[7]Exploration Cost centres NGS'!$I$6:$J$6</definedName>
    <definedName name="BEx5G1A8TFN4C4QII35U9DKYNIS8">'[7]Exploration Cost centres NGS'!$C$15:$D$29</definedName>
    <definedName name="BEx5G1L0QO91KEPDMV1D8OT4BT73">'[7]Exploration Cost centres NGS'!$I$6:$J$6</definedName>
    <definedName name="BEx5G86DZL1VYUX6KWODAP3WFAWP">'[7]Exploration Cost centres NGS'!$E$2:$F$2</definedName>
    <definedName name="BEx5G8BV2GIOCM3C7IUFK8L04A6M">'[7]Exploration Cost centres NGS'!$I$11:$J$11</definedName>
    <definedName name="BEx5GID9MVBUPFFT9M8K8B5MO9NV">'[7]Exploration Cost centres NGS'!$F$15:$G$16</definedName>
    <definedName name="BEx5GN0EWA9SCQDPQ7NTUQH82QVK">'[7]Exploration Cost centres NGS'!$F$6:$G$6</definedName>
    <definedName name="BEx5GNBCU4WZ74I0UXFL9ZG2XSGJ">'[7]Exploration Cost centres NGS'!$F$6:$G$6</definedName>
    <definedName name="BEx5GUCTYC7QCWGWU5BTO7Y7HDZX">'[7]Exploration Cost centres NGS'!$I$6:$J$6</definedName>
    <definedName name="BEx5GYUPJULJQ624TEESYFG1NFOH">'[7]Exploration Cost centres NGS'!$I$9:$J$9</definedName>
    <definedName name="BEx5H0NEE0AIN5E2UHJ9J9ISU9N1">'[7]Exploration Cost centres NGS'!$F$8:$G$8</definedName>
    <definedName name="BEx5H1UJSEUQM2K8QHQXO5THVHSO">'[7]Exploration Cost centres NGS'!$F$9:$G$9</definedName>
    <definedName name="BEx5HAOT9XWUF7XIFRZZS8B9F5TZ">'[7]Exploration Cost centres NGS'!$K$2</definedName>
    <definedName name="BEx5HE4XRF9BUY04MENWY9CHHN5H">'[7]Exploration Cost centres NGS'!$I$11:$J$11</definedName>
    <definedName name="BEx5HFHMABAT0H9KKS754X4T304E">'[7]Exploration Cost centres NGS'!$I$11:$J$11</definedName>
    <definedName name="BEx5HGDZ7MX1S3KNXLRL9WU565V4">'[7]Exploration Cost centres NGS'!$F$11:$G$11</definedName>
    <definedName name="BEx5HJZ9FAVNZSSBTAYRPZDYM9NU">'[7]Exploration Cost centres NGS'!$F$8:$G$8</definedName>
    <definedName name="BEx5HZ9JMKHNLFWLVUB1WP5B39BL">'[7]Exploration Cost centres NGS'!$F$10:$G$10</definedName>
    <definedName name="BEx5I244LQHZTF3XI66J8705R9XX">'[7]Exploration Cost centres NGS'!$C$15:$D$29</definedName>
    <definedName name="BEx5I8PBP4LIXDGID5BP0THLO0AQ">'[7]Exploration Cost centres NGS'!$C$15:$D$19</definedName>
    <definedName name="BEx5I8USVUB3JP4S9OXGMZVMOQXR">'[7]Exploration Cost centres NGS'!$G$2</definedName>
    <definedName name="BEx5I9GDQSYIAL65UQNDMNFQCS9Y">'[7]Exploration Cost centres NGS'!$I$11:$J$11</definedName>
    <definedName name="BEx5IBUPG9AWNW5PK7JGRGEJ4OLM">'[7]Exploration Cost centres NGS'!$H$2:$I$2</definedName>
    <definedName name="BEx5IC06RVN8BSAEPREVKHKLCJ2L">'[7]Exploration Cost centres NGS'!$I$8:$J$8</definedName>
    <definedName name="BEx5J0FFP1KS4NGY20AEJI8VREEA">'[7]Exploration Cost centres NGS'!$I$9:$J$9</definedName>
    <definedName name="BEx5JF3ZXLDIS8VNKDCY7ZI7H1CI">'[7]Exploration Cost centres NGS'!$F$11:$G$11</definedName>
    <definedName name="BEx5JHCZJ8G6OOOW6EF3GABXKH6F">'[7]Exploration Cost centres NGS'!$E$1</definedName>
    <definedName name="BEx5JJB6W446THXQCRUKD3I7RKLP">'[7]Exploration Cost centres NGS'!$F$8:$G$8</definedName>
    <definedName name="BEx5JJWTMI37U3RDEJOYLO93RJ6Z">'[7]Exploration Cost centres NGS'!$F$10:$G$10</definedName>
    <definedName name="BEx5JNCT8Z7XSSPD5EMNAJELCU2V">'[7]Exploration Cost centres NGS'!$C$15:$D$29</definedName>
    <definedName name="BEx5JQCNT9Y4RM306CHC8IPY3HBZ">'[7]Exploration Cost centres NGS'!$F$15</definedName>
    <definedName name="BEx5K08PYKE6JOKBYIB006TX619P">'[7]Exploration Cost centres NGS'!$F$9:$G$9</definedName>
    <definedName name="BEx5K51DSERT1TR7B4A29R41W4NX">'[7]Exploration Cost centres NGS'!$I$7:$J$7</definedName>
    <definedName name="BEx5KYER580I4T7WTLMUN7NLNP5K">'[7]Exploration Cost centres NGS'!$F$10:$G$10</definedName>
    <definedName name="BEx5LHLB3M6K4ZKY2F42QBZT30ZH">'[7]Exploration Cost centres NGS'!$I$9:$J$9</definedName>
    <definedName name="BEx5LRMNU3HXIE1BUMDHRU31F7JJ">'[7]Exploration Cost centres NGS'!$F$6:$G$6</definedName>
    <definedName name="BEx5LSJ1LPUAX3ENSPECWPG4J7D1">'[7]Exploration Cost centres NGS'!$E$1</definedName>
    <definedName name="BEx5LTKQ8RQWJE4BC88OP928893U">'[7]Exploration Cost centres NGS'!$C$15:$D$29</definedName>
    <definedName name="BEx5MB9BR71LZDG7XXQ2EO58JC5F">'[7]Exploration Cost centres NGS'!$H$2:$I$2</definedName>
    <definedName name="BEx5MVXTKNBXHNWTL43C670E4KXC">'[7]Exploration Cost centres NGS'!$F$15</definedName>
    <definedName name="BEx5N4XI4PWB1W9PMZ4O5R0HWTYD">'[7]Exploration Cost centres NGS'!$I$8:$J$8</definedName>
    <definedName name="BEx5NA68N6FJFX9UJXK4M14U487F">'[7]Exploration Cost centres NGS'!$F$6:$G$6</definedName>
    <definedName name="BEx5NIKBG2GDJOYGE3WCXKU7YY51">'[7]Exploration Cost centres NGS'!$I$6:$J$6</definedName>
    <definedName name="BEx5NV06L5J5IMKGOMGKGJ4PBZCD">'[7]Exploration Cost centres NGS'!$E$1</definedName>
    <definedName name="BEx5NZSSQ6PY99ZX2D7Q9IGOR34W">'[7]Exploration Cost centres NGS'!$F$10:$G$10</definedName>
    <definedName name="BEx5O3ZUQ2OARA1CDOZ3NC4UE5AA">'[7]Exploration Cost centres NGS'!$F$11:$G$11</definedName>
    <definedName name="BEx5OAFS0NJ2CB86A02E1JYHMLQ1">'[7]Exploration Cost centres NGS'!$I$6:$J$6</definedName>
    <definedName name="BEx5OG4RPU8W1ETWDWM234NYYYEN">'[7]Exploration Cost centres NGS'!$F$8:$G$8</definedName>
    <definedName name="BEx5OP9Y43F99O2IT69MKCCXGL61">'[7]Exploration Cost centres NGS'!$F$9:$G$9</definedName>
    <definedName name="BEx5P9Y9RDXNUAJ6CZ2LHMM8IM7T">'[7]Exploration Cost centres NGS'!$F$8:$G$8</definedName>
    <definedName name="BEx5PHWB2C0D5QLP3BZIP3UO7DIZ">'[7]Exploration Cost centres NGS'!$I$6:$J$6</definedName>
    <definedName name="BEx5PJP02W68K2E46L5C5YBSNU6T">'[7]Exploration Cost centres NGS'!$H$2:$I$2</definedName>
    <definedName name="BEx5PLCA8DOMAU315YCS5275L2HS">'[7]Exploration Cost centres NGS'!$I$11:$J$11</definedName>
    <definedName name="BEx5PRXMZ5M65Z732WNNGV564C2J">'[7]Exploration Cost centres NGS'!$I$9:$J$9</definedName>
    <definedName name="BEx5QPSW4IPLH50WSR87HRER05RF">'[7]Exploration Cost centres NGS'!$F$10:$G$10</definedName>
    <definedName name="BEx73V0EP8EMNRC3EZJJKKVKWQVB">'[7]Exploration Cost centres NGS'!$I$7:$J$7</definedName>
    <definedName name="BEx741WJHIJVXUX131SBXTVW8D71">'[7]Exploration Cost centres NGS'!$G$2</definedName>
    <definedName name="BEx74ESIB9Y8KGETIERMKU5PLCQR">'[7]Exploration Cost centres NGS'!$F$6:$G$6</definedName>
    <definedName name="BEx74Q6H3O7133AWQXWC21MI2UFT">'[7]Exploration Cost centres NGS'!$I$6:$J$6</definedName>
    <definedName name="BEx74W6BJ8ENO3J25WNM5H5APKA3">'[7]Exploration Cost centres NGS'!$E$1</definedName>
    <definedName name="BEx755GRRD9BL27YHLH5QWIYLWB7">'[7]Exploration Cost centres NGS'!$F$7:$G$7</definedName>
    <definedName name="BEx759D1D5SXS5ELLZVBI0SXYUNF">'[7]Exploration Cost centres NGS'!$I$10:$J$10</definedName>
    <definedName name="BEx75GJZSZHUDN6OOAGQYFUDA2LP">'[7]Exploration Cost centres NGS'!$F$11:$G$11</definedName>
    <definedName name="BEx75HGCCV5K4UCJWYV8EV9AG5YT">'[7]Exploration Cost centres NGS'!$F$8:$G$8</definedName>
    <definedName name="BEx75PZT8TY5P13U978NVBUXKHT4">'[7]Exploration Cost centres NGS'!$F$8:$G$8</definedName>
    <definedName name="BEx75T55F7GML8V1DMWL26WRT006">'[7]Exploration Cost centres NGS'!$F$10:$G$10</definedName>
    <definedName name="BEx75VJGR07JY6UUWURQ4PJ29UKC">'[7]Exploration Cost centres NGS'!$F$6:$G$6</definedName>
    <definedName name="BEx7741OUGLA0WJQLQRUJSL4DE00">'[7]Exploration Cost centres NGS'!$F$6:$G$6</definedName>
    <definedName name="BEx774N83DXLJZ54Q42PWIJZ2DN1">'[7]Exploration Cost centres NGS'!$F$15</definedName>
    <definedName name="BEx779QNIY3061ZV9BR462WKEGRW">'[7]Exploration Cost centres NGS'!$H$2:$I$2</definedName>
    <definedName name="BEx77G19QU9A95CNHE6QMVSQR2T3">'[7]Exploration Cost centres NGS'!$F$9:$G$9</definedName>
    <definedName name="BEx77P0S3GVMS7BJUL9OWUGJ1B02">'[7]Exploration Cost centres NGS'!$I$6:$J$6</definedName>
    <definedName name="BEx77QDESURI6WW5582YXSK3A972">'[7]Exploration Cost centres NGS'!$I$11:$J$11</definedName>
    <definedName name="BEx77VBI9XOPFHKEWU5EHQ9J675Y">'[7]Exploration Cost centres NGS'!$I$11:$J$11</definedName>
    <definedName name="BEx7809GQOCLHSNH95VOYIX7P1TV">'[7]Exploration Cost centres NGS'!$I$11:$J$11</definedName>
    <definedName name="BEx780K8XAXUHGVZGZWQ74DK4CI3">'[7]Exploration Cost centres NGS'!$I$11:$J$11</definedName>
    <definedName name="BEx78226TN58UE0CTY98YEDU0LSL">'[7]Exploration Cost centres NGS'!$F$15</definedName>
    <definedName name="BEx7881ZZBWHRAX6W2GY19J8MGEQ">'[7]Exploration Cost centres NGS'!$I$9:$J$9</definedName>
    <definedName name="BEx78HHRIWDLHQX2LG0HWFRYEL1T">'[7]Exploration Cost centres NGS'!$H$2:$I$2</definedName>
    <definedName name="BEx78QMXZ2P1ZB3HJ9O50DWHCMXR">'[7]Exploration Cost centres NGS'!$F$7:$G$7</definedName>
    <definedName name="BEx78SFO5VR28677DWZEMDN7G86X">'[7]Exploration Cost centres NGS'!$K$2</definedName>
    <definedName name="BEx78SFOYH1Z0ZDTO47W2M60TW6K">'[7]Exploration Cost centres NGS'!$I$10:$J$10</definedName>
    <definedName name="BEx79JK3E6JO8MX4O35A5G8NZCC8">'[7]Exploration Cost centres NGS'!$I$8:$J$8</definedName>
    <definedName name="BEx79OCP4HQ6XP8EWNGEUDLOZBBS">'[7]Exploration Cost centres NGS'!$F$15</definedName>
    <definedName name="BEx79SEAYKUZB0H4LYBCD6WWJBG2">'[7]Exploration Cost centres NGS'!$I$11:$J$11</definedName>
    <definedName name="BEx79SJRHTLS9PYM69O9BWW1FMJK">'[7]Exploration Cost centres NGS'!$F$7:$G$7</definedName>
    <definedName name="BEx79YJJLBELICW9F9FRYSCQ101L">'[7]Exploration Cost centres NGS'!$E$1</definedName>
    <definedName name="BEx79YUC7B0V77FSBGIRCY1BR4VK">'[7]Exploration Cost centres NGS'!$F$6:$G$6</definedName>
    <definedName name="BEx7A06T3RC2891FUX05G3QPRAUE">'[7]Exploration Cost centres NGS'!$E$1</definedName>
    <definedName name="BEx7A9S3JA1X7FH4CFSQLTZC4691">'[7]Exploration Cost centres NGS'!$H$2:$I$2</definedName>
    <definedName name="BEx7ABA2C9IWH5VSLVLLLCY62161">'[7]Exploration Cost centres NGS'!$F$15</definedName>
    <definedName name="BEx7AE4LPLX8N85BYB0WCO5S7ZPV">'[7]Exploration Cost centres NGS'!$F$7:$G$7</definedName>
    <definedName name="BEx7ASD1I654MEDCO6GGWA95PXSC">'[7]Exploration Cost centres NGS'!$C$15:$D$29</definedName>
    <definedName name="BEx7AVCX9S5RJP3NSZ4QM4E6ERDT">'[7]Exploration Cost centres NGS'!$C$15:$D$29</definedName>
    <definedName name="BEx7AVYIGP0930MV5JEBWRYCJN68">'[7]Exploration Cost centres NGS'!$I$7:$J$7</definedName>
    <definedName name="BEx7B6LH6917TXOSAAQ6U7HVF018">'[7]Exploration Cost centres NGS'!$F$15</definedName>
    <definedName name="BEx7BPXFZXJ79FQ0E8AQE21PGVHA">'[7]Exploration Cost centres NGS'!$I$11:$J$11</definedName>
    <definedName name="BEx7C04AM39DQMC1TIX7CFZ2ADHX">'[7]Exploration Cost centres NGS'!$F$9:$G$9</definedName>
    <definedName name="BEx7C40F0PQURHPI6YQ39NFIR86Z">'[7]Exploration Cost centres NGS'!$I$10:$J$10</definedName>
    <definedName name="BEx7C93VR7SYRIJS1JO8YZKSFAW9">'[7]Exploration Cost centres NGS'!$I$9:$J$9</definedName>
    <definedName name="BEx7CCPC6R1KQQZ2JQU6EFI1G0RM">'[7]Exploration Cost centres NGS'!$I$7:$J$7</definedName>
    <definedName name="BEx7CIJST9GLS2QD383UK7VUDTGL">'[7]Exploration Cost centres NGS'!$G$2</definedName>
    <definedName name="BEx7CO8T2XKC7GHDSYNAWTZ9L7YR">'[7]Exploration Cost centres NGS'!$E$1</definedName>
    <definedName name="BEx7CW1CF00DO8A36UNC2X7K65C2">'[7]Exploration Cost centres NGS'!$G$2</definedName>
    <definedName name="BEx7CW6NFRL2P4XWP0MWHIYA97KF">'[7]Exploration Cost centres NGS'!$I$11:$J$11</definedName>
    <definedName name="BEx7D5RWKRS4W71J4NZ6ZSFHPKFT">'[7]Exploration Cost centres NGS'!$F$15</definedName>
    <definedName name="BEx7D8H1TPOX1UN17QZYEV7Q58GA">'[7]Exploration Cost centres NGS'!$I$6:$J$6</definedName>
    <definedName name="BEx7DGF13H2074LRWFZQ45PZ6JPX">'[7]Exploration Cost centres NGS'!$I$9:$J$9</definedName>
    <definedName name="BEx7DKWUXEDIISSX4GDD4YYT887F">'[7]Exploration Cost centres NGS'!$I$8:$J$8</definedName>
    <definedName name="BEx7DMUYR2HC26WW7AOB1TULERMB">'[7]Exploration Cost centres NGS'!$I$12:$J$13</definedName>
    <definedName name="BEx7DVJTRV44IMJIBFXELE67SZ7S">'[7]Exploration Cost centres NGS'!$F$15</definedName>
    <definedName name="BEx7DVUMFCI5INHMVFIJ44RTTSTT">'[7]Exploration Cost centres NGS'!$F$7:$G$7</definedName>
    <definedName name="BEx7E2QT2U8THYOKBPXONB1B47WH">'[7]Exploration Cost centres NGS'!$C$15:$D$29</definedName>
    <definedName name="BEx7E5QP7W6UKO74F5Y0VJ741HS5">'[7]Exploration Cost centres NGS'!$I$11:$J$11</definedName>
    <definedName name="BEx7E6N29HGH3I47AFB2DCS6MVS6">'[7]Exploration Cost centres NGS'!$G$2</definedName>
    <definedName name="BEx7EBA8IYHQKT7IQAOAML660SYA">'[7]Exploration Cost centres NGS'!$I$9:$J$9</definedName>
    <definedName name="BEx7EI6C8MCRZFEQYUBE5FSUTIHK">'[7]Exploration Cost centres NGS'!$F$8:$G$8</definedName>
    <definedName name="BEx7EI6DL1Z6UWLFBXAKVGZTKHWJ">'[7]Exploration Cost centres NGS'!$C$15:$D$29</definedName>
    <definedName name="BEx7EQKHX7GZYOLXRDU534TT4H64">'[7]Exploration Cost centres NGS'!$F$9:$G$9</definedName>
    <definedName name="BEx7ETV6L1TM7JSXJIGK3FC6RVZW">'[7]Exploration Cost centres NGS'!$F$11:$G$11</definedName>
    <definedName name="BEx7EWK9GUVV6FXWYIGH0TAI4V2O">'[7]Exploration Cost centres NGS'!$F$11:$G$11</definedName>
    <definedName name="BEx7EYYLHMBYQTH6I377FCQS7CSX">'[7]Exploration Cost centres NGS'!$I$6:$J$6</definedName>
    <definedName name="BEx7FCLG1RYI2SNOU1Y2GQZNZSWA">'[7]Exploration Cost centres NGS'!$I$8:$J$8</definedName>
    <definedName name="BEx7FDSKZJDM0ECVKE4JM669HQ90">'[7]Exploration Cost centres NGS'!$F$11:$G$11</definedName>
    <definedName name="BEx7FN32ZGWOAA4TTH79KINTDWR9">'[7]Exploration Cost centres NGS'!$F$9:$G$9</definedName>
    <definedName name="BEx7G82CKM3NIY1PHNFK28M09PCH">'[7]Exploration Cost centres NGS'!$I$7:$J$7</definedName>
    <definedName name="BEx7GR3ENYWRXXS5IT0UMEGOLGUH">'[7]Exploration Cost centres NGS'!$F$15</definedName>
    <definedName name="BEx7GSAL6P7TASL8MB63RFST1LJL">'[7]Exploration Cost centres NGS'!$I$10:$J$10</definedName>
    <definedName name="BEx7H0JD6I5I8WQLLWOYWY5YWPQE">'[7]Exploration Cost centres NGS'!$I$11:$J$11</definedName>
    <definedName name="BEx7H14XCXH7WEXEY1HVO53A6AGH">'[7]Exploration Cost centres NGS'!$F$15</definedName>
    <definedName name="BEx7HFTIA8AC8BR8HKIN81VE1SGW">'[7]Exploration Cost centres NGS'!$F$15</definedName>
    <definedName name="BEx7HGVBEF4LEIF6RC14N3PSU461">'[7]Exploration Cost centres NGS'!$I$10:$J$10</definedName>
    <definedName name="BEx7HQ5T9FZ42QWS09UO4DT42Y0R">'[7]Exploration Cost centres NGS'!$I$11:$J$11</definedName>
    <definedName name="BEx7HRCZE3CVGON1HV07MT5MNDZ3">'[7]Exploration Cost centres NGS'!$F$9:$G$9</definedName>
    <definedName name="BEx7HWGE2CANG5M17X4C8YNC3N8F">'[7]Exploration Cost centres NGS'!$I$6:$J$6</definedName>
    <definedName name="BEx7I8FZ96C5JAHXS18ZV0912LZP">'[7]Exploration Cost centres NGS'!$G$2:$H$2</definedName>
    <definedName name="BEx7IBVYN47SFZIA0K4MDKQZNN9V">'[7]Exploration Cost centres NGS'!$I$8:$J$8</definedName>
    <definedName name="BEx7IV2IJ5WT7UC0UG7WP0WF2JZI">'[7]Exploration Cost centres NGS'!$F$10:$G$10</definedName>
    <definedName name="BEx7IXGU74GE5E4S6W4Z13AR092Y">'[7]Exploration Cost centres NGS'!$G$2</definedName>
    <definedName name="BEx7J4YL8Q3BI1MLH16YYQ18IJRD">'[7]Exploration Cost centres NGS'!$H$2:$I$2</definedName>
    <definedName name="BEx7JH3HGBPI07OHZ5LFYK0UFZQR">'[7]Exploration Cost centres NGS'!$I$8:$J$8</definedName>
    <definedName name="BEx7JV194190CNM6WWGQ3UBJ3CHH">'[7]Exploration Cost centres NGS'!$I$9:$J$9</definedName>
    <definedName name="BEx7K7GZ607XQOGB81A1HINBTGOZ">'[7]Exploration Cost centres NGS'!$I$8:$J$8</definedName>
    <definedName name="BEx7KEYPBDXSNROH8M6CDCBN6B50">'[7]Exploration Cost centres NGS'!$I$2</definedName>
    <definedName name="BEx7KSAS8BZT6H8OQCZ5DNSTMO07">'[7]Exploration Cost centres NGS'!$K$2</definedName>
    <definedName name="BEx7KWHTBD21COXVI4HNEQH0Z3L8">'[7]Exploration Cost centres NGS'!$I$8:$J$8</definedName>
    <definedName name="BEx7KXUGRMRSUXCM97Z7VRZQ9JH2">'[7]Exploration Cost centres NGS'!$F$9:$G$9</definedName>
    <definedName name="BEx7L21IQVP1N1TTQLRMANSSLSLE">'[7]Exploration Cost centres NGS'!$F$8:$G$8</definedName>
    <definedName name="BEx7L5C6U8MP6IZ67BD649WQYJEK">'[7]Exploration Cost centres NGS'!$F$6:$G$6</definedName>
    <definedName name="BEx7L8HEYEVTATR0OG5JJO647KNI">'[7]Exploration Cost centres NGS'!$F$10:$G$10</definedName>
    <definedName name="BEx7L8XOV64OMS15ZFURFEUXLMWF">'[7]Exploration Cost centres NGS'!$F$15</definedName>
    <definedName name="BEx7LJVFQACL9F4DRS9YZQ9R2N30">'[7]Exploration Cost centres NGS'!$I$9:$J$9</definedName>
    <definedName name="BEx7MAUI1JJFDIJGDW4RWY5384LY">'[7]Exploration Cost centres NGS'!$G$2</definedName>
    <definedName name="BEx7MJZO3UKAMJ53UWOJ5ZD4GGMQ">'[7]Exploration Cost centres NGS'!$I$11:$J$11</definedName>
    <definedName name="BEx7MT4MFNXIVQGAT6D971GZW7CA">'[7]Exploration Cost centres NGS'!$I$8:$J$8</definedName>
    <definedName name="BEx7NI062THZAM6I8AJWTFJL91CS">'[7]Exploration Cost centres NGS'!$F$8:$G$8</definedName>
    <definedName name="BEx904S75BPRYMHF0083JF7ES4NG">'[7]Exploration Cost centres NGS'!$I$11:$J$11</definedName>
    <definedName name="BEx90HDD4RWF7JZGA8GCGG7D63MG">'[7]Exploration Cost centres NGS'!$I$7:$J$7</definedName>
    <definedName name="BEx90VGH5H09ON2QXYC9WIIEU98T">'[7]Exploration Cost centres NGS'!$H$2:$I$2</definedName>
    <definedName name="BEx9175B70QXYAU5A8DJPGZQ46L9">'[7]Exploration Cost centres NGS'!$F$10:$G$10</definedName>
    <definedName name="BEx91AQQRTV87AO27VWHSFZAD4ZR">'[7]Exploration Cost centres NGS'!$F$10:$G$10</definedName>
    <definedName name="BEx91L8FLL5CWLA2CDHKCOMGVDZN">'[7]Exploration Cost centres NGS'!$H$2:$I$2</definedName>
    <definedName name="BEx91OTVH9ZDBC3QTORU8RZX4EOC">'[7]Exploration Cost centres NGS'!$I$7:$J$7</definedName>
    <definedName name="BEx91QH5JRZKQP1GPN2SQMR3CKAG">'[7]Exploration Cost centres NGS'!$C$15:$D$29</definedName>
    <definedName name="BEx91ROALDNHO7FI4X8L61RH4UJE">'[7]Exploration Cost centres NGS'!$E$1</definedName>
    <definedName name="BEx91TMID71GVYH0U16QM1RV3PX0">'[7]Exploration Cost centres NGS'!$I$9:$J$9</definedName>
    <definedName name="BEx91VF2D78PAF337E3L2L81K9W2">'[7]Exploration Cost centres NGS'!$H$2:$I$2</definedName>
    <definedName name="BEx921PNZ46VORG2VRMWREWIC0SE">'[7]Exploration Cost centres NGS'!$I$8:$J$8</definedName>
    <definedName name="BEx92DPEKL5WM5A3CN8674JI0PR3">'[7]Exploration Cost centres NGS'!$F$8:$G$8</definedName>
    <definedName name="BEx92ER2RMY93TZK0D9L9T3H0GI5">'[7]Exploration Cost centres NGS'!$K$2</definedName>
    <definedName name="BEx92FI04PJT4LI23KKIHRXWJDTT">'[7]Exploration Cost centres NGS'!$F$9:$G$9</definedName>
    <definedName name="BEx92HR14HQ9D5JXCSPA4SS4RT62">'[7]Exploration Cost centres NGS'!$F$11:$G$11</definedName>
    <definedName name="BEx92HWA2D6A5EX9MFG68G0NOMSN">'[7]Exploration Cost centres NGS'!$I$10:$J$10</definedName>
    <definedName name="BEx92PUBDIXAU1FW5ZAXECMAU0LN">'[7]Exploration Cost centres NGS'!$K$2</definedName>
    <definedName name="BEx92S8MHFFIVRQ2YSHZNQGOFUHD">'[7]Exploration Cost centres NGS'!$F$15</definedName>
    <definedName name="BEx93B9OULL2YGC896XXYAAJSTRK">'[7]Exploration Cost centres NGS'!$H$2:$I$2</definedName>
    <definedName name="BEx93FRKF99NRT3LH99UTIH7AAYF">'[7]Exploration Cost centres NGS'!$F$6:$G$6</definedName>
    <definedName name="BEx93M7FSHP50OG34A4W8W8DF12U">'[7]Exploration Cost centres NGS'!$I$10:$J$10</definedName>
    <definedName name="BEx93OLWY2O3PRA74U41VG5RXT4Q">'[7]Exploration Cost centres NGS'!$I$7:$J$7</definedName>
    <definedName name="BEx93RWFAF6YJGYUTITVM445C02U">'[7]Exploration Cost centres NGS'!$H$2:$I$2</definedName>
    <definedName name="BEx93SY9RWG3HUV4YXQKXJH9FH14">'[7]Exploration Cost centres NGS'!$F$15</definedName>
    <definedName name="BEx93TJUX3U0FJDBG6DDSNQ91R5J">'[7]Exploration Cost centres NGS'!$I$9:$J$9</definedName>
    <definedName name="BEx942UCRHMI4B0US31HO95GSC2X">'[7]Exploration Cost centres NGS'!$I$7:$J$7</definedName>
    <definedName name="BEx948ZFFQWVIDNG4AZAUGGGEB5U">'[7]Exploration Cost centres NGS'!$F$6:$G$6</definedName>
    <definedName name="BEx94CKXG92OMURH41SNU6IOHK4J">'[7]Exploration Cost centres NGS'!$E$1</definedName>
    <definedName name="BEx94GXG30CIVB6ZQN3X3IK6BZXQ">'[7]Exploration Cost centres NGS'!$C$15:$D$29</definedName>
    <definedName name="BEx94HZ5LURYM9ST744ALV6ZCKYP">'[7]Exploration Cost centres NGS'!$C$15:$D$29</definedName>
    <definedName name="BEx94IQ75E90YUMWJ9N591LR7DQQ">'[7]Exploration Cost centres NGS'!$C$15:$D$29</definedName>
    <definedName name="BEx94L9TBK45AUQSX1IUZ86U1GPQ">'[7]Exploration Cost centres NGS'!$I$10:$J$10</definedName>
    <definedName name="BEx94N7W5T3U7UOE97D6OVIBUCXS">'[7]Exploration Cost centres NGS'!$I$6:$J$6</definedName>
    <definedName name="BEx953PB6S6ECMD8N0JSW0CBG0DA">'[7]Exploration Cost centres NGS'!$I$6:$J$6</definedName>
    <definedName name="BEx955NIAWX5OLAHMTV6QFUZPR30">'[7]Exploration Cost centres NGS'!$C$15:$D$29</definedName>
    <definedName name="BEx9581TYVI2M5TT4ISDAJV4W7Z6">'[7]Exploration Cost centres NGS'!$I$10:$J$10</definedName>
    <definedName name="BEx95NHF4RVUE0YDOAFZEIVBYJXD">'[7]Exploration Cost centres NGS'!$I$6:$J$6</definedName>
    <definedName name="BEx95QBZMG0E2KQ9BERJ861QLYN3">'[7]Exploration Cost centres NGS'!$F$6:$G$6</definedName>
    <definedName name="BEx95QHBVDN795UNQJLRXG3RDU49">'[7]Exploration Cost centres NGS'!$I$6:$J$6</definedName>
    <definedName name="BEx95TBVUWV7L7OMFMZDQEXGVHU6">'[7]Exploration Cost centres NGS'!$F$9:$G$9</definedName>
    <definedName name="BEx95U89DZZSVO39TGS62CX8G9N4">'[7]Exploration Cost centres NGS'!$F$11:$G$11</definedName>
    <definedName name="BEx9602K2GHNBUEUVT9ONRQU1GMD">'[7]Exploration Cost centres NGS'!$F$9:$G$9</definedName>
    <definedName name="BEx962BL3Y4LA53EBYI64ZYMZE8U">'[7]Exploration Cost centres NGS'!$F$7:$G$7</definedName>
    <definedName name="BEx96KR21O7H9R29TN0S45Y3QPUK">'[7]Exploration Cost centres NGS'!$I$9:$J$9</definedName>
    <definedName name="BEx96SUFKHHFE8XQ6UUO6ILDOXHO">'[7]Exploration Cost centres NGS'!$I$11:$J$11</definedName>
    <definedName name="BEx96UN4YWXBDEZ1U1ZUIPP41Z7I">'[7]Exploration Cost centres NGS'!$H$2:$I$2</definedName>
    <definedName name="BEx970MYCPJ6DQ44TKLOIGZO5LHH">'[7]Exploration Cost centres NGS'!$E$1</definedName>
    <definedName name="BEx978KSD61YJH3S9DGO050R2EHA">'[7]Exploration Cost centres NGS'!$F$7:$G$7</definedName>
    <definedName name="BEx97H9O1NAKAPK4MX4PKO34ICL5">'[7]Exploration Cost centres NGS'!$F$11:$G$11</definedName>
    <definedName name="BEx97HVA5F2I0D6ID81KCUDEQOIH">'[7]Exploration Cost centres NGS'!$I$6:$J$6</definedName>
    <definedName name="BEx97MNUZQ1Z0AO2FL7XQYVNCPR7">'[7]Exploration Cost centres NGS'!$I$8:$J$8</definedName>
    <definedName name="BEx97NPQBACJVD9K1YXI08RTW9E2">'[7]Exploration Cost centres NGS'!$C$15:$D$29</definedName>
    <definedName name="BEx97RWQLXS0OORDCN69IGA58CWU">'[7]Exploration Cost centres NGS'!$F$6:$G$6</definedName>
    <definedName name="BEx97YNGGDFIXHTMGFL2IHAQX9MI">'[7]Exploration Cost centres NGS'!$F$8:$G$8</definedName>
    <definedName name="BEx981HW73BUZWT14TBTZHC0ZTJ4">'[7]Exploration Cost centres NGS'!$F$7:$G$7</definedName>
    <definedName name="BEx9871KU0N99P0900EAK69VFYT2">'[7]Exploration Cost centres NGS'!$F$15</definedName>
    <definedName name="BEx98IFKNJFGZFLID1YTRFEG1SXY">'[7]Exploration Cost centres NGS'!$F$9:$G$9</definedName>
    <definedName name="BEx9915UVD4G7RA3IMLFZ0LG3UA2">'[7]Exploration Cost centres NGS'!$F$7:$G$7</definedName>
    <definedName name="BEx992CZON8AO7U7V88VN1JBO0MG">'[7]Exploration Cost centres NGS'!$I$8:$J$8</definedName>
    <definedName name="BEx9952469XMFGSPXL7CMXHPJF90">'[7]Exploration Cost centres NGS'!$I$9:$J$9</definedName>
    <definedName name="BEx99B77I7TUSHRR4HIZ9FU2EIUT">'[7]Exploration Cost centres NGS'!$F$11:$G$11</definedName>
    <definedName name="BEx99Q6PH5F3OQKCCAAO75PYDEFN">'[7]Exploration Cost centres NGS'!$G$2</definedName>
    <definedName name="BEx99WBYT2D6UUC1PT7A40ENYID4">'[7]Exploration Cost centres NGS'!$I$11:$J$11</definedName>
    <definedName name="BEx99XOGHOM28CNCYKQWYGL56W2S">'[7]Exploration Cost centres NGS'!$I$7:$J$7</definedName>
    <definedName name="BEx99ZRZ4I7FHDPGRAT5VW7NVBPU">'[7]Exploration Cost centres NGS'!$I$7:$J$7</definedName>
    <definedName name="BEx9AT5E3ZSHKSOL35O38L8HF9TH">'[7]Exploration Cost centres NGS'!$I$9:$J$9</definedName>
    <definedName name="BEx9AV8W1FAWF5BHATYEN47X12JN">'[7]Exploration Cost centres NGS'!$F$15</definedName>
    <definedName name="BEx9B8A5186FNTQQNLIO5LK02ABI">'[7]Exploration Cost centres NGS'!$E$1</definedName>
    <definedName name="BEx9B8VR20E2CILU4CDQUQQ9ONXK">'[7]Exploration Cost centres NGS'!$G$2</definedName>
    <definedName name="BEx9B917EUP13X6FQ3NPQL76XM5V">'[7]Exploration Cost centres NGS'!$F$11:$G$11</definedName>
    <definedName name="BEx9BAJ5WYEQ623HUT9NNCMP3RUG">'[7]Exploration Cost centres NGS'!$I$11:$J$11</definedName>
    <definedName name="BEx9BYSYW7QCPXS2NAVLFAU5Y2Z2">'[7]Exploration Cost centres NGS'!$I$6:$J$6</definedName>
    <definedName name="BEx9C590HJ2O31IWJB73C1HR74AI">'[7]Exploration Cost centres NGS'!$I$11:$J$11</definedName>
    <definedName name="BEx9CCQRMYYOGIOYTOM73VKDIPS1">'[7]Exploration Cost centres NGS'!$I$6:$J$6</definedName>
    <definedName name="BEx9D1BC9FT19KY0INAABNDBAMR1">'[7]Exploration Cost centres NGS'!$I$10:$J$10</definedName>
    <definedName name="BEx9DN6ZMF18Q39MPMXSDJTZQNJ3">'[7]Exploration Cost centres NGS'!$F$10:$G$10</definedName>
    <definedName name="BEx9DUU8DALPSCW66GTMQRPXZ6GL">'[7]Exploration Cost centres NGS'!$F$9:$G$9</definedName>
    <definedName name="BEx9E14TDNSEMI784W0OTIEQMWN6">'[7]Exploration Cost centres NGS'!$K$2</definedName>
    <definedName name="BEx9E2BZ2B1R41FMGJCJ7JLGLUAJ">'[7]Exploration Cost centres NGS'!$F$15:$G$16</definedName>
    <definedName name="BEx9EG9KBJ77M8LEOR9ITOKN5KXY">'[7]Exploration Cost centres NGS'!$I$7:$J$7</definedName>
    <definedName name="BEx9EMK6HAJJMVYZTN5AUIV7O1E6">'[7]Exploration Cost centres NGS'!$I$11:$J$11</definedName>
    <definedName name="BEx9EQLVZHYQ1TPX7WH3SOWXCZLE">'[7]Exploration Cost centres NGS'!$I$6:$J$6</definedName>
    <definedName name="BEx9ETLU0EK5LGEM1QCNYN2S8O5F">'[7]Exploration Cost centres NGS'!$F$7:$G$7</definedName>
    <definedName name="BEx9F0Y2ESUNE3U7TQDLMPE9BO67">'[7]Exploration Cost centres NGS'!$I$10:$J$10</definedName>
    <definedName name="BEx9F5W18ZGFOKGRE8PR6T1MO6GT">'[7]Exploration Cost centres NGS'!$I$11:$J$11</definedName>
    <definedName name="BEx9F78N4HY0XFGBQ4UJRD52L1EI">'[7]Exploration Cost centres NGS'!$K$2</definedName>
    <definedName name="BEx9FF16LOQP5QIR4UHW5EIFGQB8">'[7]Exploration Cost centres NGS'!$G$2</definedName>
    <definedName name="BEx9FJTSRCZ3ZXT3QVBJT5NF8T7V">'[7]Exploration Cost centres NGS'!$K$2</definedName>
    <definedName name="BEx9FRBEEYPS5HLS3XT34AKZN94G">'[7]Exploration Cost centres NGS'!$F$7:$G$7</definedName>
    <definedName name="BEx9GDY4D8ZPQJCYFIMYM0V0C51Y">'[7]Exploration Cost centres NGS'!$F$8:$G$8</definedName>
    <definedName name="BEx9GGY04V0ZWI6O9KZH4KSBB389">'[7]Exploration Cost centres NGS'!$I$11:$J$11</definedName>
    <definedName name="BEx9GNOPB6OZ2RH3FCDNJR38RJOS">'[7]Exploration Cost centres NGS'!$F$9:$G$9</definedName>
    <definedName name="BEx9GUQALUWCD30UKUQGSWW8KBQ7">'[7]Exploration Cost centres NGS'!$I$6:$J$6</definedName>
    <definedName name="BEx9GY6BVFQGCLMOWVT6PIC9WP5X">'[7]Exploration Cost centres NGS'!$F$15</definedName>
    <definedName name="BEx9GZ2P3FDHKXEBXX2VS0BG2NP2">'[7]Exploration Cost centres NGS'!$F$6:$G$6</definedName>
    <definedName name="BEx9H04IB14E1437FF2OIRRWBSD7">'[7]Exploration Cost centres NGS'!$F$15</definedName>
    <definedName name="BEx9H5O1KDZJCW91Q29VRPY5YS6P">'[7]Exploration Cost centres NGS'!$I$9:$J$9</definedName>
    <definedName name="BEx9H8YR0E906F1JXZMBX3LNT004">'[7]Exploration Cost centres NGS'!$F$9:$G$9</definedName>
    <definedName name="BEx9I8XIG7E5NB48QQHXP23FIN60">'[7]Exploration Cost centres NGS'!$I$10:$J$10</definedName>
    <definedName name="BEx9IQRF01ATLVK0YE60ARKQJ68L">'[7]Exploration Cost centres NGS'!$I$8:$J$8</definedName>
    <definedName name="BEx9IT5QNZWKM6YQ5WER0DC2PMMU">'[7]Exploration Cost centres NGS'!$I$9:$J$9</definedName>
    <definedName name="BEx9IW5MFLXTVCJHVUZTUH93AXOS">'[7]Exploration Cost centres NGS'!$E$1</definedName>
    <definedName name="BEx9IXCSPSZC80YZUPRCYTG326KV">'[7]Exploration Cost centres NGS'!$I$10:$J$10</definedName>
    <definedName name="BEx9IZR39NHDGOM97H4E6F81RTQW">'[7]Exploration Cost centres NGS'!$F$6:$G$6</definedName>
    <definedName name="BEx9J6CH5E7YZPER7HXEIOIKGPCA">'[7]Exploration Cost centres NGS'!$E$1</definedName>
    <definedName name="BEx9JJTZKVUJAVPTRE0RAVTEH41G">'[7]Exploration Cost centres NGS'!$I$11:$J$11</definedName>
    <definedName name="BEx9JLBYK239B3F841C7YG1GT7ST">'[7]Exploration Cost centres NGS'!$C$15:$D$29</definedName>
    <definedName name="BExAW4IIW5D0MDY6TJ3G4FOLPYIR">'[7]Exploration Cost centres NGS'!$H$2:$I$2</definedName>
    <definedName name="BExAX410NB4F2XOB84OR2197H8M5">'[7]Exploration Cost centres NGS'!$E$1</definedName>
    <definedName name="BExAX8TNG8LQ5Q4904SAYQIPGBSV">'[7]Exploration Cost centres NGS'!$I$7:$J$7</definedName>
    <definedName name="BExAY0EAT2LXR5MFGM0DLIB45PLO">'[7]Exploration Cost centres NGS'!$F$6:$G$6</definedName>
    <definedName name="BExAYE6LNIEBR9DSNI5JGNITGKIT">'[7]Exploration Cost centres NGS'!$I$7:$J$7</definedName>
    <definedName name="BExAYHMLXGGO25P8HYB2S75DEB4F">'[7]Exploration Cost centres NGS'!$F$10:$G$10</definedName>
    <definedName name="BExAYKXAUWGDOPG952TEJ2UKZKWN">'[7]Exploration Cost centres NGS'!$F$8:$G$8</definedName>
    <definedName name="BExAYP9TDTI2MBP6EYE0H39CPMXN">'[7]Exploration Cost centres NGS'!$F$9:$G$9</definedName>
    <definedName name="BExAYPPWJPWDKU59O051WMGB7O0J">'[7]Exploration Cost centres NGS'!$F$11:$G$11</definedName>
    <definedName name="BExAYR2JZCJBUH6F1LZC2A7JIVRJ">'[7]Exploration Cost centres NGS'!$F$7:$G$7</definedName>
    <definedName name="BExAYTGVRD3DLKO75RFPMBKCIWB8">'[7]Exploration Cost centres NGS'!$F$8:$G$8</definedName>
    <definedName name="BExAYY9H9COOT46HJLPVDLTO12UL">'[7]Exploration Cost centres NGS'!$I$11:$J$11</definedName>
    <definedName name="BExAZCNEGB4JYHC8CZ51KTN890US">'[7]Exploration Cost centres NGS'!$F$9:$G$9</definedName>
    <definedName name="BExAZFCI302YFYRDJYQDWQQL0Q0O">'[7]Exploration Cost centres NGS'!$I$7:$J$7</definedName>
    <definedName name="BExAZLHLST9OP89R1HJMC1POQG8H">'[7]Exploration Cost centres NGS'!$F$10:$G$10</definedName>
    <definedName name="BExAZMDYMIAA7RX1BMCKU1VLBRGY">'[7]Exploration Cost centres NGS'!$F$6:$G$6</definedName>
    <definedName name="BExAZNL6BHI8DCQWXOX4I2P839UX">'[7]Exploration Cost centres NGS'!$I$2:$J$2</definedName>
    <definedName name="BExAZRMWSONMCG9KDUM4KAQ7BONM">'[7]Exploration Cost centres NGS'!$H$2:$I$2</definedName>
    <definedName name="BExAZTFG4SJRG4TW6JXRF7N08JFI">'[7]Exploration Cost centres NGS'!$I$10:$J$10</definedName>
    <definedName name="BExAZUS4A8OHDZK0MWAOCCCKTH73">'[7]Exploration Cost centres NGS'!$F$8:$G$8</definedName>
    <definedName name="BExAZX6FECVK3E07KXM2XPYKGM6U">'[7]Exploration Cost centres NGS'!$G$2</definedName>
    <definedName name="BExB012NJ8GASTNNPBRRFTLHIOC9">'[7]Exploration Cost centres NGS'!$F$9:$G$9</definedName>
    <definedName name="BExB072HHXVMUC0VYNGG48GRSH5Q">'[7]Exploration Cost centres NGS'!$C$15:$D$29</definedName>
    <definedName name="BExB0FRDEYDEUEAB1W8KD6D965XA">'[7]Exploration Cost centres NGS'!$K$2</definedName>
    <definedName name="BExB0KPCN7YJORQAYUCF4YKIKPMC">'[7]Exploration Cost centres NGS'!$I$11:$J$11</definedName>
    <definedName name="BExB0WE4PI3NOBXXVO9CTEN4DIU2">'[7]Exploration Cost centres NGS'!$G$2</definedName>
    <definedName name="BExB10QNIVITUYS55OAEKK3VLJFE">'[7]Exploration Cost centres NGS'!$G$2</definedName>
    <definedName name="BExB15ZDRY4CIJ911DONP0KCY9KU">'[7]Exploration Cost centres NGS'!$F$6:$G$6</definedName>
    <definedName name="BExB16VQY0O0RLZYJFU3OFEONVTE">'[7]Exploration Cost centres NGS'!$I$6:$J$6</definedName>
    <definedName name="BExB1FKNY2UO4W5FUGFHJOA2WFGG">'[7]Exploration Cost centres NGS'!$E$1</definedName>
    <definedName name="BExB1GMD0PIDGTFBGQOPRWQSP9I4">'[7]Exploration Cost centres NGS'!$C$15:$D$29</definedName>
    <definedName name="BExB1Q29OO6LNFNT1EQLA3KYE7MX">'[7]Exploration Cost centres NGS'!$F$7:$G$7</definedName>
    <definedName name="BExB1TNRV5EBWZEHYLHI76T0FVA7">'[7]Exploration Cost centres NGS'!$I$9:$J$9</definedName>
    <definedName name="BExB1WI6M8I0EEP1ANUQZCFY24EV">'[7]Exploration Cost centres NGS'!$C$15:$D$29</definedName>
    <definedName name="BExB203OWC9QZA3BYOKQ18L4FUJE">'[7]Exploration Cost centres NGS'!$F$9:$G$9</definedName>
    <definedName name="BExB2CJHTU7C591BR4WRL5L2F2K6">'[7]Exploration Cost centres NGS'!$I$9:$J$9</definedName>
    <definedName name="BExB2K1AV4PGNS1O6C7D7AO411AX">'[7]Exploration Cost centres NGS'!$F$11:$G$11</definedName>
    <definedName name="BExB2O2UYHKI324YE324E1N7FVIB">'[7]Exploration Cost centres NGS'!$I$10:$J$10</definedName>
    <definedName name="BExB2Q0VJ0MU2URO3JOVUAVHEI3V">'[7]Exploration Cost centres NGS'!$E$1</definedName>
    <definedName name="BExB30IP1DNKNQ6PZ5ERUGR5MK4Z">'[7]Exploration Cost centres NGS'!$I$11:$J$11</definedName>
    <definedName name="BExB442RX0T3L6HUL6X5T21CENW6">'[7]Exploration Cost centres NGS'!$C$15:$D$29</definedName>
    <definedName name="BExB4ADD0L7417CII901XTFKXD1J">'[7]Exploration Cost centres NGS'!$I$7:$J$7</definedName>
    <definedName name="BExB4DO1V1NL2AVK5YE1RSL5RYHL">'[7]Exploration Cost centres NGS'!$J$2:$K$2</definedName>
    <definedName name="BExB4DYU06HCGRIPBSWRCXK804UM">'[7]Exploration Cost centres NGS'!$F$11:$G$11</definedName>
    <definedName name="BExB4Z3EZBGYYI33U0KQ8NEIH8PY">'[7]Exploration Cost centres NGS'!$I$8:$J$8</definedName>
    <definedName name="BExB55368XW7UX657ZSPC6BFE92S">'[7]Exploration Cost centres NGS'!$I$8:$J$8</definedName>
    <definedName name="BExB57MZEPL2SA2ONPK66YFLZWJU">'[7]Exploration Cost centres NGS'!$I$8:$J$8</definedName>
    <definedName name="BExB5833OAOJ22VK1YK47FHUSVK2">'[7]Exploration Cost centres NGS'!$C$15:$D$29</definedName>
    <definedName name="BExB58JDIHS42JZT9DJJMKA8QFCO">'[7]Exploration Cost centres NGS'!$I$11:$J$11</definedName>
    <definedName name="BExB58U5FQC5JWV9CGC83HLLZUZI">'[7]Exploration Cost centres NGS'!$F$7:$G$7</definedName>
    <definedName name="BExB5EDO9XUKHF74X3HAU2WPPHZH">'[7]Exploration Cost centres NGS'!$I$6:$J$6</definedName>
    <definedName name="BExB5G6EH68AYEP1UT0GHUEL3SLN">'[7]Exploration Cost centres NGS'!$F$11:$G$11</definedName>
    <definedName name="BExB5QYVEZWFE5DQVHAM760EV05X">'[7]Exploration Cost centres NGS'!$I$7:$J$7</definedName>
    <definedName name="BExB5U9IRH14EMOE0YGIE3WIVLFS">'[7]Exploration Cost centres NGS'!$I$6:$J$6</definedName>
    <definedName name="BExB5VWYMOV6BAIH7XUBBVPU7MMD">'[7]Exploration Cost centres NGS'!$F$9:$G$9</definedName>
    <definedName name="BExB610DZWIJP1B72U9QM42COH2B">'[7]Exploration Cost centres NGS'!$F$9:$G$9</definedName>
    <definedName name="BExB6C3FUAKK9ML5T767NMWGA9YB">'[7]Exploration Cost centres NGS'!$F$7:$G$7</definedName>
    <definedName name="BExB6C8X6JYRLKZKK17VE3QUNL3D">'[7]Exploration Cost centres NGS'!$G$2</definedName>
    <definedName name="BExB6HN3QRFPXM71MDUK21BKM7PF">'[7]Exploration Cost centres NGS'!$F$11:$G$11</definedName>
    <definedName name="BExB6IZMHCZ3LB7N73KD90YB1HBZ">'[7]Exploration Cost centres NGS'!$F$9:$G$9</definedName>
    <definedName name="BExB719SGNX4Y8NE6JEXC555K596">'[7]Exploration Cost centres NGS'!$F$10:$G$10</definedName>
    <definedName name="BExB7265DCHKS7V2OWRBXCZTEIW9">'[7]Exploration Cost centres NGS'!$F$6:$G$6</definedName>
    <definedName name="BExB74PS5P9G0P09Y6DZSCX0FLTJ">'[7]Exploration Cost centres NGS'!$I$6:$J$6</definedName>
    <definedName name="BExB78RH79J0MIF7H8CAZ0CFE88Q">'[7]Exploration Cost centres NGS'!$E$1</definedName>
    <definedName name="BExB7ELT09HGDVO5BJC1ZY9D09GZ">'[7]Exploration Cost centres NGS'!$H$2:$I$2</definedName>
    <definedName name="BExB806PAXX70XUTA3ZI7OORD78R">'[7]Exploration Cost centres NGS'!$F$15</definedName>
    <definedName name="BExB8HF4UBVZKQCSRFRUQL2EE6VL">'[7]Exploration Cost centres NGS'!$F$8:$G$8</definedName>
    <definedName name="BExB8HKHKZ1ORJZUYGG2M4VSCC39">'[7]Exploration Cost centres NGS'!$F$9:$G$9</definedName>
    <definedName name="BExB8QPH8DC5BESEVPSMBCWVN6PO">'[7]Exploration Cost centres NGS'!$F$6:$G$6</definedName>
    <definedName name="BExB8U5N0D85YR8APKN3PPKG0FWP">'[7]Exploration Cost centres NGS'!$C$15:$D$29</definedName>
    <definedName name="BExB9DHI5I2TJ2LXYPM98EE81L27">'[7]Exploration Cost centres NGS'!$I$9:$J$9</definedName>
    <definedName name="BExB9Q2MZZHBGW8QQKVEYIMJBPIE">'[7]Exploration Cost centres NGS'!$E$1</definedName>
    <definedName name="BExBA1GON0EZRJ20UYPILAPLNQWM">'[7]Exploration Cost centres NGS'!$I$7:$J$7</definedName>
    <definedName name="BExBA69ASGYRZW1G1DYIS9QRRTBN">'[7]Exploration Cost centres NGS'!$F$9:$G$9</definedName>
    <definedName name="BExBA6K42582A14WFFWQ3Q8QQWB6">'[7]Exploration Cost centres NGS'!$I$7:$J$7</definedName>
    <definedName name="BExBA8I5D4R8R2PYQ1K16TWGTOEP">'[7]Exploration Cost centres NGS'!$I$7:$J$7</definedName>
    <definedName name="BExBA93PE0DGUUTA7LLSIGBIXWE5">'[7]Exploration Cost centres NGS'!$I$7:$J$7</definedName>
    <definedName name="BExBAI8X0FKDQJ6YZJQDTTG4ZCWY">'[7]Exploration Cost centres NGS'!$I$7:$J$7</definedName>
    <definedName name="BExBAKN7XIBAXCF9PCNVS038PCQO">'[7]Exploration Cost centres NGS'!$F$11:$G$11</definedName>
    <definedName name="BExBAKXZ7PBW3DDKKA5MWC1ZUC7O">'[7]Exploration Cost centres NGS'!$I$8:$J$8</definedName>
    <definedName name="BExBAO8NLXZXHO6KCIECSFCH3RR0">'[7]Exploration Cost centres NGS'!$I$9:$J$9</definedName>
    <definedName name="BExBAOOT1KBSIEISN1ADL4RMY879">'[7]Exploration Cost centres NGS'!$G$2</definedName>
    <definedName name="BExBAVKX8Q09370X1GCZWJ4E91YJ">'[7]Exploration Cost centres NGS'!$I$8:$J$8</definedName>
    <definedName name="BExBAX2X2ENJYO4QTR5VAIQ86L7B">'[7]Exploration Cost centres NGS'!$F$8:$G$8</definedName>
    <definedName name="BExBAZ13D3F1DVJQ6YJ8JGUYEYJE">'[7]Exploration Cost centres NGS'!$I$11:$J$11</definedName>
    <definedName name="BExBBTG649R9I0CT042JLL8LXV18">'[7]Exploration Cost centres NGS'!$F$8:$G$8</definedName>
    <definedName name="BExBBUCJQRR74Q7GPWDEZXYK2KJL">'[7]Exploration Cost centres NGS'!$I$11:$J$11</definedName>
    <definedName name="BExBBV8XVMD9CKZY711T0BN7H3PM">'[7]Exploration Cost centres NGS'!$F$15</definedName>
    <definedName name="BExBC78HXWXHO3XAB6E8NVTBGLJS">'[7]Exploration Cost centres NGS'!$F$10:$G$10</definedName>
    <definedName name="BExBCKKJTIRKC1RZJRTK65HHLX4W">'[7]Exploration Cost centres NGS'!$I$9:$J$9</definedName>
    <definedName name="BExBCLMEPAN3XXX174TU8SS0627Q">'[7]Exploration Cost centres NGS'!$E$1</definedName>
    <definedName name="BExBCRBEYR2KZ8FAQFZ2NHY13WIY">'[7]Exploration Cost centres NGS'!$F$15</definedName>
    <definedName name="BExBD4I559NXSV6J07Q343TKYMVJ">'[7]Exploration Cost centres NGS'!$G$2</definedName>
    <definedName name="BExBDBZQLTX3OGFYGULQFK5WEZU5">'[7]Exploration Cost centres NGS'!$F$7:$G$7</definedName>
    <definedName name="BExBDJS9TUEU8Z84IV59E5V4T8K6">'[7]Exploration Cost centres NGS'!$C$15:$D$29</definedName>
    <definedName name="BExBDKOMSVH4XMH52CFJ3F028I9R">'[7]Exploration Cost centres NGS'!$G$2</definedName>
    <definedName name="BExBDSRXVZQ0W5WXQMP5XD00GRRL">'[7]Exploration Cost centres NGS'!$I$8:$J$8</definedName>
    <definedName name="BExBDUVGK3E1J4JY9ZYTS7V14BLY">'[7]Exploration Cost centres NGS'!$G$2</definedName>
    <definedName name="BExBE162OSBKD30I7T1DKKPT3I9I">'[7]Exploration Cost centres NGS'!$I$10:$J$10</definedName>
    <definedName name="BExBE5YPUY1T7N7DHMMIGGXK8TMP">'[7]Exploration Cost centres NGS'!$F$15</definedName>
    <definedName name="BExBEC9ATLQZF86W1M3APSM4HEOH">'[7]Exploration Cost centres NGS'!$I$6:$J$6</definedName>
    <definedName name="BExBEYFQJE9YK12A6JBMRFKEC7RN">'[7]Exploration Cost centres NGS'!$I$6:$J$6</definedName>
    <definedName name="BExBG1ED81J2O4A2S5F5Y3BPHMCR">'[7]Exploration Cost centres NGS'!$I$8:$J$8</definedName>
    <definedName name="BExCRLIHS7466WFJ3RPIUGGXYESZ">'[7]Exploration Cost centres NGS'!$I$9:$J$9</definedName>
    <definedName name="BExCS1EDDUEAEWHVYXHIP9I1WCJH">'[7]Exploration Cost centres NGS'!$I$10:$J$10</definedName>
    <definedName name="BExCS6SLRCBH006GNRE27HFRHP40">'[7]Exploration Cost centres NGS'!$I$8:$J$8</definedName>
    <definedName name="BExCS7ZPMHFJ4UJDAL8CQOLSZ13B">'[7]Exploration Cost centres NGS'!$C$15:$D$29</definedName>
    <definedName name="BExCS8W4NJUZH9S1CYB6XSDLEPBW">'[7]Exploration Cost centres NGS'!$I$2:$J$2</definedName>
    <definedName name="BExCSAE1M6G20R41J0Y24YNN0YC1">'[7]Exploration Cost centres NGS'!$I$6:$J$6</definedName>
    <definedName name="BExCSAOUZOYKHN7HV511TO8VDJ02">'[7]Exploration Cost centres NGS'!$I$8:$J$8</definedName>
    <definedName name="BExCSMOFTXSUEC1T46LR1UPYRCX5">'[7]Exploration Cost centres NGS'!$G$2</definedName>
    <definedName name="BExCSSDG3TM6TPKS19E9QYJEELZ6">'[7]Exploration Cost centres NGS'!$E$1</definedName>
    <definedName name="BExCSZV7U67UWXL2HKJNM5W1E4OO">'[7]Exploration Cost centres NGS'!$I$7:$J$7</definedName>
    <definedName name="BExCT4NSDT61OCH04Y2QIFIOP75H">'[7]Exploration Cost centres NGS'!$C$15:$D$29</definedName>
    <definedName name="BExCTW8G3VCZ55S09HTUGXKB1P2M">'[7]Exploration Cost centres NGS'!$F$11:$G$11</definedName>
    <definedName name="BExCTYS2KX0QANOLT8LGZ9WV3S3T">'[7]Exploration Cost centres NGS'!$F$15</definedName>
    <definedName name="BExCTZZ9JNES4EDHW97NP0EGQALX">'[7]Exploration Cost centres NGS'!$G$2</definedName>
    <definedName name="BExCU0A1V6NMZQ9ASYJ8QIVQ5UR2">'[7]Exploration Cost centres NGS'!$E$1</definedName>
    <definedName name="BExCU2834920JBHSPCRC4UF80OLL">'[7]Exploration Cost centres NGS'!$F$11:$G$11</definedName>
    <definedName name="BExCU8O54I3P3WRYWY1CRP3S78QY">'[7]Exploration Cost centres NGS'!$G$2</definedName>
    <definedName name="BExCUDRJO23YOKT8GPWOVQ4XEHF5">'[7]Exploration Cost centres NGS'!$F$6:$G$6</definedName>
    <definedName name="BExCUPAXFR16YMWL30ME3F3BSRDZ">'[7]Exploration Cost centres NGS'!$F$8:$G$8</definedName>
    <definedName name="BExCUR94DHCE47PUUWEMT5QZOYR2">'[7]Exploration Cost centres NGS'!$H$2:$I$2</definedName>
    <definedName name="BExCV634L7SVHGB0UDDTRRQ2Q72H">'[7]Exploration Cost centres NGS'!$I$7:$J$7</definedName>
    <definedName name="BExCVBXGSXT9FWJRG62PX9S1RK83">'[7]Exploration Cost centres NGS'!$I$8:$J$8</definedName>
    <definedName name="BExCVHBNLOHNFS0JAV3I1XGPNH9W">'[7]Exploration Cost centres NGS'!$F$15</definedName>
    <definedName name="BExCVI86R31A2IOZIEBY1FJLVILD">'[7]Exploration Cost centres NGS'!$I$10:$J$10</definedName>
    <definedName name="BExCVKGZXE0I9EIXKBZVSGSEY2RR">'[7]Exploration Cost centres NGS'!$F$9:$G$9</definedName>
    <definedName name="BExCVV44WY5807WGMTGKPW0GT256">'[7]Exploration Cost centres NGS'!$I$7:$J$7</definedName>
    <definedName name="BExCVZ5PN4V6MRBZ04PZJW3GEF8S">'[7]Exploration Cost centres NGS'!$C$15:$D$29</definedName>
    <definedName name="BExCW13R0GWJYGXZBNCPAHQN4NR2">'[7]Exploration Cost centres NGS'!$I$10:$J$10</definedName>
    <definedName name="BExCW9Y5HWU4RJTNX74O6L24VGCK">'[7]Exploration Cost centres NGS'!$H$2:$I$2</definedName>
    <definedName name="BExCWPDPESGZS07QGBLSBWDNVJLZ">'[7]Exploration Cost centres NGS'!$F$7:$G$7</definedName>
    <definedName name="BExCWTVKHIVCRHF8GC39KI58YM5K">'[7]Exploration Cost centres NGS'!$G$2</definedName>
    <definedName name="BExCX2KGRZBRVLZNM8SUSIE6A0RL">'[7]Exploration Cost centres NGS'!$C$15:$D$29</definedName>
    <definedName name="BExCX3X451T70LZ1VF95L7W4Y4TM">'[7]Exploration Cost centres NGS'!$F$10:$G$10</definedName>
    <definedName name="BExCX4NZ2N1OUGXM7EV0U7VULJMM">'[7]Exploration Cost centres NGS'!$F$7:$G$7</definedName>
    <definedName name="BExCXILMURGYMAH6N5LF5DV6K3GM">'[7]Exploration Cost centres NGS'!$I$9:$J$9</definedName>
    <definedName name="BExCXQUFBMXQ1650735H48B1AZT3">'[7]Exploration Cost centres NGS'!$F$15</definedName>
    <definedName name="BExCY2DQO9VLA77Q7EG3T0XNXX4F">'[7]Exploration Cost centres NGS'!$F$11:$G$11</definedName>
    <definedName name="BExCY6VMJ68MX3C981R5Q0BX5791">'[7]Exploration Cost centres NGS'!$I$9:$J$9</definedName>
    <definedName name="BExCYAH2SAZCPW6XCB7V7PMMCAWO">'[7]Exploration Cost centres NGS'!$I$6:$J$6</definedName>
    <definedName name="BExCYJBB52X8B3AREHCC1L5QNPX7">'[7]Exploration Cost centres NGS'!$E$1</definedName>
    <definedName name="BExCYPRC5HJE6N2XQTHCT6NXGP8N">'[7]Exploration Cost centres NGS'!$I$11:$J$11</definedName>
    <definedName name="BExCYUK0I3UEXZNFDW71G6Z6D8XR">'[7]Exploration Cost centres NGS'!$C$15:$D$29</definedName>
    <definedName name="BExCZFZCXMLY5DWESYJ9NGTJYQ8M">'[7]Exploration Cost centres NGS'!$I$11:$J$11</definedName>
    <definedName name="BExCZJ4P8WS0BDT31WDXI0ROE7D6">'[7]Exploration Cost centres NGS'!$F$6:$G$6</definedName>
    <definedName name="BExCZKH6NI0EE02L995IFVBD1J59">'[7]Exploration Cost centres NGS'!$I$8:$J$8</definedName>
    <definedName name="BExCZUD9FEOJBKDJ51Z3JON9LKJ8">'[7]Exploration Cost centres NGS'!$G$2</definedName>
    <definedName name="BExD0508DAALLU00PHFPBC8SRRKT">'[7]Exploration Cost centres NGS'!$I$9:$J$9</definedName>
    <definedName name="BExD0HALIN0JR4JTPGDEVAEE5EX5">'[7]Exploration Cost centres NGS'!$I$8:$J$8</definedName>
    <definedName name="BExD0LCCDPG16YLY5WQSZF1XI5DA">'[7]Exploration Cost centres NGS'!$I$9:$J$9</definedName>
    <definedName name="BExD0RMWSB4TRECEHTH6NN4K9DFZ">'[7]Exploration Cost centres NGS'!$I$11:$J$11</definedName>
    <definedName name="BExD0U6KG10QGVDI1XSHK0J10A2V">'[7]Exploration Cost centres NGS'!$I$7:$J$7</definedName>
    <definedName name="BExD13RUIBGRXDL4QDZ305UKUR12">'[7]Exploration Cost centres NGS'!$I$9:$J$9</definedName>
    <definedName name="BExD14DETV5R4OOTMAXD5NAKWRO3">'[7]Exploration Cost centres NGS'!$H$2:$I$2</definedName>
    <definedName name="BExD1OAU9OXQAZA4D70HP72CU6GB">'[7]Exploration Cost centres NGS'!$I$7:$J$7</definedName>
    <definedName name="BExD1Y1JV61416YA1XRQHKWPZIE7">'[7]Exploration Cost centres NGS'!$F$6:$G$6</definedName>
    <definedName name="BExD2CFHIRMBKN5KXE5QP4XXEWFS">'[7]Exploration Cost centres NGS'!$C$3</definedName>
    <definedName name="BExD2DMHH1HWXQ9W0YYMDP8AAX8Q">'[7]Exploration Cost centres NGS'!$F$6:$G$6</definedName>
    <definedName name="BExD2HTPC7IWBAU6OSQ67MQA8BYZ">'[7]Exploration Cost centres NGS'!$F$10:$G$10</definedName>
    <definedName name="BExD363H2VGFIQUCE6LS4AC5J0ZT">'[7]Exploration Cost centres NGS'!$F$7:$G$7</definedName>
    <definedName name="BExD3A588E939V61P1XEW0FI5Q0S">'[7]Exploration Cost centres NGS'!$I$10:$J$10</definedName>
    <definedName name="BExD3CJJDKVR9M18XI3WDZH80WL6">'[7]Exploration Cost centres NGS'!$I$11:$J$11</definedName>
    <definedName name="BExD3ESD9WYJIB3TRDPJ1CKXRAVL">'[7]Exploration Cost centres NGS'!$I$11:$J$11</definedName>
    <definedName name="BExD3F368X5S25MWSUNIV57RDB57">'[7]Exploration Cost centres NGS'!$E$1</definedName>
    <definedName name="BExD3IJ5IT335SOSNV9L85WKAOSI">'[7]Exploration Cost centres NGS'!$F$11:$G$11</definedName>
    <definedName name="BExD3KBVUY57GMMQTOFEU6S6G1AY">'[7]Exploration Cost centres NGS'!$F$9:$G$9</definedName>
    <definedName name="BExD3NMR7AW2Z6V8SC79VQR37NA6">'[7]Exploration Cost centres NGS'!$F$8:$G$8</definedName>
    <definedName name="BExD3QXA2UQ2W4N7NYLUEOG40BZB">'[7]Exploration Cost centres NGS'!$F$10:$G$10</definedName>
    <definedName name="BExD3U2N041TEJ7GCN005UTPHNXY">'[7]Exploration Cost centres NGS'!$F$6:$G$6</definedName>
    <definedName name="BExD40O0CFTNJFOFMMM1KH0P7BUI">'[7]Exploration Cost centres NGS'!$E$1</definedName>
    <definedName name="BExD4BR9HJ3MWWZ5KLVZWX9FJAUS">'[7]Exploration Cost centres NGS'!$F$11:$G$11</definedName>
    <definedName name="BExD4F1WTKT3H0N9MF4H1LX7MBSY">'[7]Exploration Cost centres NGS'!$I$8:$J$8</definedName>
    <definedName name="BExD4H5GQWXBS6LUL3TSP36DVO38">'[7]Exploration Cost centres NGS'!$E$1</definedName>
    <definedName name="BExD4JJSS3QDBLABCJCHD45SRNPI">'[7]Exploration Cost centres NGS'!$C$15:$D$19</definedName>
    <definedName name="BExD4R1I0MKF033I5LPUYIMTZ6E8">'[7]Exploration Cost centres NGS'!$C$15:$D$29</definedName>
    <definedName name="BExD50MT3M6XZLNUP9JL93EG6D9R">'[7]Exploration Cost centres NGS'!$I$11:$J$11</definedName>
    <definedName name="BExD5EV7KDSVF1CJT38M4IBPFLPY">'[7]Exploration Cost centres NGS'!$F$11:$G$11</definedName>
    <definedName name="BExD5FRK547OESJRYAW574DZEZ7J">'[7]Exploration Cost centres NGS'!$I$9:$J$9</definedName>
    <definedName name="BExD5I5X2YA2YNCTCDSMEL4CWF4N">'[7]Exploration Cost centres NGS'!$F$7:$G$7</definedName>
    <definedName name="BExD5QUSRFJWRQ1ZM50WYLCF74DF">'[7]Exploration Cost centres NGS'!$I$9:$J$9</definedName>
    <definedName name="BExD5SSUIF6AJQHBHK8PNMFBPRYB">'[7]Exploration Cost centres NGS'!$F$8:$G$8</definedName>
    <definedName name="BExD623C9LRX18BE0W2V6SZLQUXX">'[7]Exploration Cost centres NGS'!$C$15:$D$29</definedName>
    <definedName name="BExD6CQA7UMJBXV7AIFAIHUF2ICX">'[7]Exploration Cost centres NGS'!$F$9:$G$9</definedName>
    <definedName name="BExD6FKVK8WJWNYPVENR7Q8Q30PK">'[7]Exploration Cost centres NGS'!$F$9:$G$9</definedName>
    <definedName name="BExD6GMP0LK8WKVWMIT1NNH8CHLF">'[7]Exploration Cost centres NGS'!$C$15:$D$29</definedName>
    <definedName name="BExD6H2TE0WWAUIWVSSCLPZ6B88N">'[7]Exploration Cost centres NGS'!$I$11:$J$11</definedName>
    <definedName name="BExD71LTOE015TV5RSAHM8NT8GVW">'[7]Exploration Cost centres NGS'!$J$2:$K$2</definedName>
    <definedName name="BExD73USXVADC7EHGHVTQNCT06ZA">'[7]Exploration Cost centres NGS'!$I$7:$J$7</definedName>
    <definedName name="BExD7GAIGULTB3YHM1OS9RBQOTEC">'[7]Exploration Cost centres NGS'!$E$1</definedName>
    <definedName name="BExD7IE1DHIS52UFDCTSKPJQNRD5">'[7]Exploration Cost centres NGS'!$I$9:$J$9</definedName>
    <definedName name="BExD7IUBGUWHYC9UNZ1IY5XFYKQN">'[7]Exploration Cost centres NGS'!$F$6:$G$6</definedName>
    <definedName name="BExD7JQOJ35HGL8U2OCEI2P2JT7I">'[7]Exploration Cost centres NGS'!$E$1</definedName>
    <definedName name="BExD7KSDKNDNH95NDT3S7GM3MUU2">'[7]Exploration Cost centres NGS'!$I$11:$J$11</definedName>
    <definedName name="BExD8H5O087KQVWIVPUUID5VMGMS">'[7]Exploration Cost centres NGS'!$G$2</definedName>
    <definedName name="BExD8OCLZMFN5K3VZYI4Q4ITVKUA">'[7]Exploration Cost centres NGS'!$C$15:$D$29</definedName>
    <definedName name="BExD93C1R6LC0631ECHVFYH0R0PD">'[7]Exploration Cost centres NGS'!$I$11:$J$11</definedName>
    <definedName name="BExD97TXIO0COVNN4OH3DEJ33YLM">'[7]Exploration Cost centres NGS'!$F$9:$G$9</definedName>
    <definedName name="BExD99RZ1RFIMK6O1ZHSPJ68X9Y5">'[7]Exploration Cost centres NGS'!$G$2</definedName>
    <definedName name="BExD9L0ID3VSOU609GKWYTA5BFMA">'[7]Exploration Cost centres NGS'!$I$10:$J$10</definedName>
    <definedName name="BExD9M7SEMG0JK2FUTTZXWIEBTKB">'[7]Exploration Cost centres NGS'!$I$10:$J$10</definedName>
    <definedName name="BExD9MNYBYB1AICQL5165G472IE2">'[7]Exploration Cost centres NGS'!$K$2</definedName>
    <definedName name="BExD9PNSYT7GASEGUVL48MUQ02WO">'[7]Exploration Cost centres NGS'!$I$10:$J$10</definedName>
    <definedName name="BExD9TK2MIWFH5SKUYU9ZKF4NPHQ">'[7]Exploration Cost centres NGS'!$I$9:$J$9</definedName>
    <definedName name="BExDA6LD9061UULVKUUI4QP8SK13">'[7]Exploration Cost centres NGS'!$I$11:$J$11</definedName>
    <definedName name="BExDAGMVMNLQ6QXASB9R6D8DIT12">'[7]Exploration Cost centres NGS'!$F$6:$G$6</definedName>
    <definedName name="BExDAYBHU9ADLXI8VRC7F608RVGM">'[7]Exploration Cost centres NGS'!$F$11:$G$11</definedName>
    <definedName name="BExDBDR1XR0FV0CYUCB2OJ7CJCZU">'[7]Exploration Cost centres NGS'!$F$6:$G$6</definedName>
    <definedName name="BExDC7F818VN0S18ID7XRCRVYPJ4">'[7]Exploration Cost centres NGS'!$F$7:$G$7</definedName>
    <definedName name="BExDCL7K96PC9VZYB70ZW3QPVIJE">'[7]Exploration Cost centres NGS'!$I$6:$J$6</definedName>
    <definedName name="BExDCP3UZ3C2O4C1F7KMU0Z9U32N">'[7]Exploration Cost centres NGS'!$F$10:$G$10</definedName>
    <definedName name="BExEOBX3WECDMYCV9RLN49APTXMM">'[7]Exploration Cost centres NGS'!$I$7:$J$7</definedName>
    <definedName name="BExEP4E4F36662JDI0TOD85OP7X9">'[7]Exploration Cost centres NGS'!$E$1</definedName>
    <definedName name="BExEPN9VIYI0FVL0HLZQXJFO6TT0">'[7]Exploration Cost centres NGS'!$H$2:$I$2</definedName>
    <definedName name="BExEPYT6VDSMR8MU2341Q5GM2Y9V">'[7]Exploration Cost centres NGS'!$K$2</definedName>
    <definedName name="BExEQ2ENYLMY8K1796XBB31CJHNN">'[7]Exploration Cost centres NGS'!$F$11:$G$11</definedName>
    <definedName name="BExEQ2PFE4N40LEPGDPS90WDL6BN">'[7]Exploration Cost centres NGS'!$I$7:$J$7</definedName>
    <definedName name="BExEQ2PFURT24NQYGYVE8NKX1EGA">'[7]Exploration Cost centres NGS'!$H$2:$I$2</definedName>
    <definedName name="BExEQB8ZWXO6IIGOEPWTLOJGE2NR">'[7]Exploration Cost centres NGS'!$C$15:$D$29</definedName>
    <definedName name="BExEQBZX0EL6LIKPY01197ACK65H">'[7]Exploration Cost centres NGS'!$F$6:$G$6</definedName>
    <definedName name="BExEQDXZALJLD4OBF74IKZBR13SR">'[7]Exploration Cost centres NGS'!$F$10:$G$10</definedName>
    <definedName name="BExEQFLE2RPWGMWQAI4JMKUEFRPT">'[7]Exploration Cost centres NGS'!$I$9:$J$9</definedName>
    <definedName name="BExEQTZAP8R69U31W4LKGTKKGKQE">'[7]Exploration Cost centres NGS'!$F$10:$G$10</definedName>
    <definedName name="BExER2O72H1F9WV6S1J04C15PXX7">'[7]Exploration Cost centres NGS'!$F$11:$G$11</definedName>
    <definedName name="BExERRUIKIOATPZ9U4HQ0V52RJAU">'[7]Exploration Cost centres NGS'!$F$10:$G$10</definedName>
    <definedName name="BExERSANFNM1O7T65PC5MJ301YET">'[7]Exploration Cost centres NGS'!$C$15:$D$29</definedName>
    <definedName name="BExES44RHHDL3V7FLV6M20834WF1">'[7]Exploration Cost centres NGS'!$I$8:$J$8</definedName>
    <definedName name="BExES4A7VE2X3RYYTVRLKZD4I7WU">'[7]Exploration Cost centres NGS'!$G$2</definedName>
    <definedName name="BExES6ZC8R7PHJ21OVJFLIR7DY30">'[7]Exploration Cost centres NGS'!$F$7:$G$7</definedName>
    <definedName name="BExESMKD95A649M0WRSG6CXXP326">'[7]Exploration Cost centres NGS'!$F$7:$G$7</definedName>
    <definedName name="BExESR27ZXJG5VMY4PR9D940VS7T">'[7]Exploration Cost centres NGS'!$I$9:$J$9</definedName>
    <definedName name="BExESZ03KXL8DQ2591HLR56ZML94">'[7]Exploration Cost centres NGS'!$I$9:$J$9</definedName>
    <definedName name="BExESZAW5N443NRTKIP59OEI1CR6">'[7]Exploration Cost centres NGS'!$I$6:$J$6</definedName>
    <definedName name="BExET3HXQ60A4O2OLKX8QNXRI6LQ">'[7]Exploration Cost centres NGS'!$F$9:$G$9</definedName>
    <definedName name="BExETA3B1FCIOA80H94K90FWXQKE">'[7]Exploration Cost centres NGS'!$I$8:$J$8</definedName>
    <definedName name="BExETAZOYT4CJIT8RRKC9F2HJG1D">'[7]Exploration Cost centres NGS'!$I$11:$J$11</definedName>
    <definedName name="BExETF6QD5A9GEINE1KZRRC2LXWM">'[7]Exploration Cost centres NGS'!$F$10:$G$10</definedName>
    <definedName name="BExETQ9XRXLUACN82805SPSPNKHI">'[7]Exploration Cost centres NGS'!$F$2</definedName>
    <definedName name="BExETR0YRMOR63E6DHLEHV9QVVON">'[7]Exploration Cost centres NGS'!$F$10:$G$10</definedName>
    <definedName name="BExETVTGY38YXYYF7N73OYN6FYY3">'[7]Exploration Cost centres NGS'!$I$7:$J$7</definedName>
    <definedName name="BExEUNE4T242Y59C6MS28MXEUGCP">'[7]Exploration Cost centres NGS'!$F$6:$G$6</definedName>
    <definedName name="BExEV2TP7NA3ZR6RJGH5ER370OUM">'[7]Exploration Cost centres NGS'!$F$7:$G$7</definedName>
    <definedName name="BExEV69USLNYO2QRJRC0J92XUF00">'[7]Exploration Cost centres NGS'!$I$8:$J$8</definedName>
    <definedName name="BExEV6KNTQOCFD7GV726XQEVQ7R6">'[7]Exploration Cost centres NGS'!$F$7:$G$7</definedName>
    <definedName name="BExEV6VGM4POO9QT9KH3QA3VYCWM">'[7]Exploration Cost centres NGS'!$F$8:$G$8</definedName>
    <definedName name="BExEVET98G3FU6QBF9LHYWSAMV0O">'[7]Exploration Cost centres NGS'!$F$10:$G$10</definedName>
    <definedName name="BExEVNCUT0PDUYNJH7G6BSEWZOT2">'[7]Exploration Cost centres NGS'!$F$10:$G$10</definedName>
    <definedName name="BExEVPGF4V5J0WQRZKUM8F9TTKZJ">'[7]Exploration Cost centres NGS'!$F$8:$G$8</definedName>
    <definedName name="BExEVPWH8S9GER9M14SPIT6XZ8SG">'[7]Exploration Cost centres NGS'!$F$8:$G$8</definedName>
    <definedName name="BExEVVLIEVWYRF2UUC1H0H5QU1CP">'[7]Exploration Cost centres NGS'!$F$10:$G$10</definedName>
    <definedName name="BExEVWCKO8T84GW9Z3X47915XKSH">'[7]Exploration Cost centres NGS'!$H$2:$I$2</definedName>
    <definedName name="BExEVZSJWMZ5L2ZE7AZC57CXKW6T">'[7]Exploration Cost centres NGS'!$F$8:$G$8</definedName>
    <definedName name="BExEW0JL1GFFCXMDGW54CI7Y8FZN">'[7]Exploration Cost centres NGS'!$I$8:$J$8</definedName>
    <definedName name="BExEW68M9WL8214QH9C7VCK7BN08">'[7]Exploration Cost centres NGS'!$I$6:$J$6</definedName>
    <definedName name="BExEW8HFKH6F47KIHYBDRUEFZ2ZZ">'[7]Exploration Cost centres NGS'!$F$7:$G$7</definedName>
    <definedName name="BExEWLO75K95C6IRKHXSP7VP81T4">'[7]Exploration Cost centres NGS'!$F$9:$G$9</definedName>
    <definedName name="BExEWNBGQS1U2LW3W84T4LSJ9K00">'[7]Exploration Cost centres NGS'!$F$15</definedName>
    <definedName name="BExEWO7STL7HNZSTY8VQBPTX1WK6">'[7]Exploration Cost centres NGS'!$I$11:$J$11</definedName>
    <definedName name="BExEWQ0M1N3KMKTDJ73H10QSG4W1">'[7]Exploration Cost centres NGS'!$H$2:$I$2</definedName>
    <definedName name="BExEX85F3OSW8NSCYGYPS9372Z1Q">'[7]Exploration Cost centres NGS'!$H$2:$I$2</definedName>
    <definedName name="BExEX9HWY2G6928ZVVVQF77QCM2C">'[7]Exploration Cost centres NGS'!$C$15:$D$29</definedName>
    <definedName name="BExEXBQWAYKMVBRJRHB8PFCSYFVN">'[7]Exploration Cost centres NGS'!$I$10:$J$10</definedName>
    <definedName name="BExEXRBZ0DI9E2UFLLKYWGN66B61">'[7]Exploration Cost centres NGS'!$E$1</definedName>
    <definedName name="BExEYLG9FL9V1JPPNZ3FUDNSEJ4V">'[7]Exploration Cost centres NGS'!$I$10:$J$10</definedName>
    <definedName name="BExEYOW8C1B3OUUCIGEC7L8OOW1Z">'[7]Exploration Cost centres NGS'!$G$2:$H$2</definedName>
    <definedName name="BExEYUQJXZT6N5HJH8ACJF6SRWEE">'[7]Exploration Cost centres NGS'!$I$6:$J$6</definedName>
    <definedName name="BExEZ1S6VZCG01ZPLBSS9Z1SBOJ2">'[7]Exploration Cost centres NGS'!$I$10:$J$10</definedName>
    <definedName name="BExEZGBFNJR8DLPN0V11AU22L6WY">'[7]Exploration Cost centres NGS'!$I$9:$J$9</definedName>
    <definedName name="BExF02Y3V3QEPO2XLDSK47APK9XJ">'[7]Exploration Cost centres NGS'!$G$2</definedName>
    <definedName name="BExF09OS91RT7N7IW8JLMZ121ZP3">'[7]Exploration Cost centres NGS'!$I$7:$J$7</definedName>
    <definedName name="BExF0LOEHV42P2DV7QL8O7HOQ3N9">'[7]Exploration Cost centres NGS'!$F$11:$G$11</definedName>
    <definedName name="BExF0WRM9VO25RLSO03ZOCE8H7K5">'[7]Exploration Cost centres NGS'!$H$2:$I$2</definedName>
    <definedName name="BExF0ZRI7W4RSLIDLHTSM0AWXO3S">'[7]Exploration Cost centres NGS'!$E$1</definedName>
    <definedName name="BExF19CT3MMZZ2T5EWMDNG3UOJ01">'[7]Exploration Cost centres NGS'!$I$9:$J$9</definedName>
    <definedName name="BExF1M38U6NX17YJA8YU359B5Z4M">'[7]Exploration Cost centres NGS'!$I$10:$J$10</definedName>
    <definedName name="BExF1MU4W3NPEY0OHRDWP5IANCBB">'[7]Exploration Cost centres NGS'!$I$10:$J$10</definedName>
    <definedName name="BExF1MZN8MWMOKOARHJ1QAF9HPGT">'[7]Exploration Cost centres NGS'!$F$8:$G$8</definedName>
    <definedName name="BExF1US4ZIQYSU5LBFYNRA9N0K2O">'[7]Exploration Cost centres NGS'!$I$9:$J$9</definedName>
    <definedName name="BExF2CWZN6E87RGTBMD4YQI2QT7R">'[7]Exploration Cost centres NGS'!$F$10:$G$10</definedName>
    <definedName name="BExF2DYO1WQ7GMXSTAQRDBW1NSFG">'[7]Exploration Cost centres NGS'!$F$9:$G$9</definedName>
    <definedName name="BExF2MSWNUY9Z6BZJQZ538PPTION">'[7]Exploration Cost centres NGS'!$I$6:$J$6</definedName>
    <definedName name="BExF2QZYWHTYGUTTXR15CKCV3LS7">'[7]Exploration Cost centres NGS'!$F$11:$G$11</definedName>
    <definedName name="BExF2T8Y6TSJ74RMSZOA9CEH4OZ6">'[7]Exploration Cost centres NGS'!$I$2</definedName>
    <definedName name="BExF31N3YM4F37EOOY8M8VI1KXN8">'[7]Exploration Cost centres NGS'!$F$9:$G$9</definedName>
    <definedName name="BExF37C1YKBT79Z9SOJAG5MXQGTU">'[7]Exploration Cost centres NGS'!$F$15</definedName>
    <definedName name="BExF3A6HPA6DGYALZNHHJPMCUYZR">'[7]Exploration Cost centres NGS'!$F$8:$G$8</definedName>
    <definedName name="BExF3I9T44X7DV9HHV51DVDDPPZG">'[7]Exploration Cost centres NGS'!$K$2</definedName>
    <definedName name="BExF3JMFX5DILOIFUDIO1HZUK875">'[7]Exploration Cost centres NGS'!$H$2:$I$2</definedName>
    <definedName name="BExF3NTC4BGZEM6B87TCFX277QCS">'[7]Exploration Cost centres NGS'!$E$1</definedName>
    <definedName name="BExF3Q7NI90WT31QHYSJDIG0LLLJ">'[7]Exploration Cost centres NGS'!$I$10:$J$10</definedName>
    <definedName name="BExF3QD55TIY1MSBSRK9TUJKBEWO">'[7]Exploration Cost centres NGS'!$H$2:$I$2</definedName>
    <definedName name="BExF3QT8J6RIF1L3R700MBSKIOKW">'[7]Exploration Cost centres NGS'!$F$11:$G$11</definedName>
    <definedName name="BExF42SSBVPMLK2UB3B7FPEIY9TU">'[7]Exploration Cost centres NGS'!$E$1</definedName>
    <definedName name="BExF4HXSWB50BKYPWA0HTT8W56H6">'[7]Exploration Cost centres NGS'!$I$10:$J$10</definedName>
    <definedName name="BExF4KHF04IWW4LQ95FHQPFE4Y9K">'[7]Exploration Cost centres NGS'!$I$8:$J$8</definedName>
    <definedName name="BExF4LU2NV3A47BCWPM3EZXUEH37">'[7]Exploration Cost centres NGS'!$I$9:$J$9</definedName>
    <definedName name="BExF4MVQM5Y0QRDLDFSKWWTF709C">'[7]Exploration Cost centres NGS'!$I$8:$J$8</definedName>
    <definedName name="BExF4PVMZYV36E8HOYY06J81AMBI">'[7]Exploration Cost centres NGS'!$C$15:$D$29</definedName>
    <definedName name="BExF4SF9NEX1FZE9N8EXT89PM54D">'[7]Exploration Cost centres NGS'!$F$11:$G$11</definedName>
    <definedName name="BExF52GTGP8MHGII4KJ8TJGR8W8U">'[7]Exploration Cost centres NGS'!$H$2:$I$2</definedName>
    <definedName name="BExF57K7L3UC1I2FSAWURR4SN0UN">'[7]Exploration Cost centres NGS'!$I$10:$J$10</definedName>
    <definedName name="BExF5D96JEPDW6LV89G2REZJ1ES7">'[7]Exploration Cost centres NGS'!$J$2:$K$2</definedName>
    <definedName name="BExF5HR2GFV7O8LKG9SJ4BY78LYA">'[7]Exploration Cost centres NGS'!$I$8:$J$8</definedName>
    <definedName name="BExF5ZFO2A29GHWR5ES64Z9OS16J">'[7]Exploration Cost centres NGS'!$E$1</definedName>
    <definedName name="BExF63S045JO7H2ZJCBTBVH3SUIF">'[7]Exploration Cost centres NGS'!$I$11:$J$11</definedName>
    <definedName name="BExF642TEGTXCI9A61ZOONJCB0U1">'[7]Exploration Cost centres NGS'!$I$8:$J$8</definedName>
    <definedName name="BExF67O951CF8UJF3KBDNR0E83C1">'[7]Exploration Cost centres NGS'!$E$1</definedName>
    <definedName name="BExF6EV7I35NVMIJGYTB6E24YVPA">'[7]Exploration Cost centres NGS'!$K$2</definedName>
    <definedName name="BExF6FGUF393KTMBT40S5BYAFG00">'[7]Exploration Cost centres NGS'!$H$2:$I$2</definedName>
    <definedName name="BExF6GNYXWY8A0SY4PW1B6KJMMTM">'[7]Exploration Cost centres NGS'!$E$1</definedName>
    <definedName name="BExF6IB8K74Z0AFT05GPOKKZW7C9">'[7]Exploration Cost centres NGS'!$I$9:$J$9</definedName>
    <definedName name="BExF6NUXJI11W2IAZNAM1QWC0459">'[7]Exploration Cost centres NGS'!$F$7:$G$7</definedName>
    <definedName name="BExF6RR76KNVIXGJOVFO8GDILKGZ">'[7]Exploration Cost centres NGS'!$F$15</definedName>
    <definedName name="BExF6ZE8D5CMPJPRWT6S4HM56LPF">'[7]Exploration Cost centres NGS'!$F$11:$G$11</definedName>
    <definedName name="BExF76FV8SF7AJK7B35AL7VTZF6D">'[7]Exploration Cost centres NGS'!$F$8:$G$8</definedName>
    <definedName name="BExF7EOIMC1OYL1N7835KGOI0FIZ">'[7]Exploration Cost centres NGS'!$I$10:$J$10</definedName>
    <definedName name="BExF7K88K7ASGV6RAOAGH52G04VR">'[7]Exploration Cost centres NGS'!$E$1</definedName>
    <definedName name="BExF7OVDRP3LHNAF2CX4V84CKKIR">'[7]Exploration Cost centres NGS'!$I$7:$J$7</definedName>
    <definedName name="BExF7QO41X2A2SL8UXDNP99GY7U9">'[7]Exploration Cost centres NGS'!$I$8:$J$8</definedName>
    <definedName name="BExF81GI8B8WBHXFTET68A9358BR">'[7]Exploration Cost centres NGS'!$F$10:$G$10</definedName>
    <definedName name="BExGL97US0Y3KXXASUTVR26XLT70">'[7]Exploration Cost centres NGS'!$E$1</definedName>
    <definedName name="BExGLC7R4C33RO0PID97ZPPVCW4M">'[7]Exploration Cost centres NGS'!$F$11:$G$11</definedName>
    <definedName name="BExGLFIF7HCFSHNQHKEV6RY0WCO3">'[7]Exploration Cost centres NGS'!$F$8:$G$8</definedName>
    <definedName name="BExGLTARRL0J772UD2TXEYAVPY6E">'[7]Exploration Cost centres NGS'!$F$6:$G$6</definedName>
    <definedName name="BExGLVP1IU8K5A8J1340XFMYPR88">'[7]Exploration Cost centres NGS'!$C$15:$D$29</definedName>
    <definedName name="BExGLYE6RZTAAWHJBG2QFJPTDS2Q">'[7]Exploration Cost centres NGS'!$F$7:$G$7</definedName>
    <definedName name="BExGM4DZ65OAQP7MA4LN6QMYZOFF">'[7]Exploration Cost centres NGS'!$F$10:$G$10</definedName>
    <definedName name="BExGMCXCWEC9XNUOEMZ61TMI6CUO">'[7]Exploration Cost centres NGS'!$G$2</definedName>
    <definedName name="BExGMJDGIH0MEPC2TUSFUCY2ROTB">'[7]Exploration Cost centres NGS'!$E$1</definedName>
    <definedName name="BExGMKPW2HPKN0M0XKF3AZ8YP0D6">'[7]Exploration Cost centres NGS'!$I$10:$J$10</definedName>
    <definedName name="BExGMP2F175LGL6QVSJGP6GKYHHA">'[7]Exploration Cost centres NGS'!$I$8:$J$8</definedName>
    <definedName name="BExGMPIIP8GKML2VVA8OEFL43NCS">'[7]Exploration Cost centres NGS'!$F$6:$G$6</definedName>
    <definedName name="BExGMZ3SRIXLXMWBVOXXV3M4U4YL">'[7]Exploration Cost centres NGS'!$F$7:$G$7</definedName>
    <definedName name="BExGMZ3UBN48IXU1ZEFYECEMZ1IM">'[7]Exploration Cost centres NGS'!$F$6:$G$6</definedName>
    <definedName name="BExGN4I0QATXNZCLZJM1KH1OIJQH">'[7]Exploration Cost centres NGS'!$F$9:$G$9</definedName>
    <definedName name="BExGN9FZ2RWCMSY1YOBJKZMNIM9R">'[7]Exploration Cost centres NGS'!$G$2</definedName>
    <definedName name="BExGNDSIMTHOCXXG6QOGR6DA8SGG">'[7]Exploration Cost centres NGS'!$E$1</definedName>
    <definedName name="BExGNN2YQ9BDAZXT2GLCSAPXKIM7">'[7]Exploration Cost centres NGS'!$C$15:$D$29</definedName>
    <definedName name="BExGNSS0CKRPKHO25R3TDBEL2NHX">'[7]Exploration Cost centres NGS'!$F$6:$G$6</definedName>
    <definedName name="BExGNYH0MO8NOVS85L15G0RWX4GW">'[7]Exploration Cost centres NGS'!$I$7:$J$7</definedName>
    <definedName name="BExGNZO44DEG8CGIDYSEGDUQ531R">'[7]Exploration Cost centres NGS'!$E$1</definedName>
    <definedName name="BExGO2O0V6UYDY26AX8OSN72F77N">'[7]Exploration Cost centres NGS'!$F$11:$G$11</definedName>
    <definedName name="BExGO2YUBOVLYHY1QSIHRE1KLAFV">'[7]Exploration Cost centres NGS'!$C$15:$D$29</definedName>
    <definedName name="BExGO70E2O70LF46V8T26YFPL4V8">'[7]Exploration Cost centres NGS'!$F$9:$G$9</definedName>
    <definedName name="BExGOB25QJMQCQE76MRW9X58OIOO">'[7]Exploration Cost centres NGS'!$I$9:$J$9</definedName>
    <definedName name="BExGODAZKJ9EXMQZNQR5YDBSS525">'[7]Exploration Cost centres NGS'!$E$1</definedName>
    <definedName name="BExGODR8ZSMUC11I56QHSZ686XV5">'[7]Exploration Cost centres NGS'!$F$8:$G$8</definedName>
    <definedName name="BExGOT6UXUX5FVTAYL9SOBZ1D0II">'[7]Exploration Cost centres NGS'!$F$15</definedName>
    <definedName name="BExGOXJDHUDPDT8I8IVGVW9J0R5Q">'[7]Exploration Cost centres NGS'!$I$6:$J$6</definedName>
    <definedName name="BExGPHGT5KDOCMV2EFS4OVKTWBRD">'[7]Exploration Cost centres NGS'!$F$11:$G$11</definedName>
    <definedName name="BExGPID72Y4Y619LWASUQZKZHJNC">'[7]Exploration Cost centres NGS'!$F$15</definedName>
    <definedName name="BExGPPENQIANVGLVQJ77DK5JPRTB">'[7]Exploration Cost centres NGS'!$F$8:$G$8</definedName>
    <definedName name="BExGQ1ZU4967P72AHF4V1D0FOL5C">'[7]Exploration Cost centres NGS'!$I$7:$J$7</definedName>
    <definedName name="BExGQ36ZOMR9GV8T05M605MMOY3Y">'[7]Exploration Cost centres NGS'!$E$1</definedName>
    <definedName name="BExGQ61DTJ0SBFMDFBAK3XZ9O0ZO">'[7]Exploration Cost centres NGS'!$I$8:$J$8</definedName>
    <definedName name="BExGQ6SG9XEOD0VMBAR22YPZWSTA">'[7]Exploration Cost centres NGS'!$F$6:$G$6</definedName>
    <definedName name="BExGQGJ1A7LNZUS8QSMOG8UNGLMK">'[7]Exploration Cost centres NGS'!$G$2</definedName>
    <definedName name="BExGQPO7ENFEQC0NC6MC9OZR2LHY">'[7]Exploration Cost centres NGS'!$I$8:$J$8</definedName>
    <definedName name="BExGQX0H4EZMXBJTKJJE4ICJWN5O">'[7]Exploration Cost centres NGS'!$C$15:$D$29</definedName>
    <definedName name="BExGR4CW3WRIID17GGX4MI9ZDHFE">'[7]Exploration Cost centres NGS'!$K$2</definedName>
    <definedName name="BExGR65GJX27MU2OL6NI5PB8XVB4">'[7]Exploration Cost centres NGS'!$H$2:$I$2</definedName>
    <definedName name="BExGR6LQ97HETGS3CT96L4IK0JSH">'[7]Exploration Cost centres NGS'!$I$8:$J$8</definedName>
    <definedName name="BExGR9ATP2LVT7B9OCPSLJ11H9SX">'[7]Exploration Cost centres NGS'!$F$8:$G$8</definedName>
    <definedName name="BExGRUKVVKDL8483WI70VN2QZDGD">'[7]Exploration Cost centres NGS'!$F$7:$G$7</definedName>
    <definedName name="BExGS2IWR5DUNJ1U9PAKIV8CMBNI">'[7]Exploration Cost centres NGS'!$H$2:$I$2</definedName>
    <definedName name="BExGS69P9FFTEOPDS0MWFKF45G47">'[7]Exploration Cost centres NGS'!$G$2</definedName>
    <definedName name="BExGS6F1JFHM5MUJ1RFO50WP6D05">'[7]Exploration Cost centres NGS'!$I$6:$J$6</definedName>
    <definedName name="BExGSA5YB5ZGE4NHDVCZ55TQAJTL">'[7]Exploration Cost centres NGS'!$I$10:$J$10</definedName>
    <definedName name="BExGSCEUCQQVDEEKWJ677QTGUVTE">'[7]Exploration Cost centres NGS'!$I$6:$J$6</definedName>
    <definedName name="BExGSQY65LH1PCKKM5WHDW83F35O">'[7]Exploration Cost centres NGS'!$E$1</definedName>
    <definedName name="BExGSYW1GKISF0PMUAK3XJK9PEW9">'[7]Exploration Cost centres NGS'!$F$11:$G$11</definedName>
    <definedName name="BExGT0DZJB6LSF6L693UUB9EY1VQ">'[7]Exploration Cost centres NGS'!$C$15:$D$29</definedName>
    <definedName name="BExGTGVFIF8HOQXR54SK065A8M4K">'[7]Exploration Cost centres NGS'!$F$10:$G$10</definedName>
    <definedName name="BExGTIYX3OWPIINOGY1E4QQYSKHP">'[7]Exploration Cost centres NGS'!$C$15:$D$29</definedName>
    <definedName name="BExGTKGUN0KUU3C0RL2LK98D8MEK">'[7]Exploration Cost centres NGS'!$I$8:$J$8</definedName>
    <definedName name="BExGTZ046J7VMUG4YPKFN2K8TWB7">'[7]Exploration Cost centres NGS'!$I$7:$J$7</definedName>
    <definedName name="BExGU2G9OPRZRIU9YGF6NX9FUW0J">'[7]Exploration Cost centres NGS'!$I$9:$J$9</definedName>
    <definedName name="BExGU6HTKLRZO8UOI3DTAM5RFDBA">'[7]Exploration Cost centres NGS'!$I$7:$J$7</definedName>
    <definedName name="BExGUDDZXFFQHAF4UZF8ZB1HO7H6">'[7]Exploration Cost centres NGS'!$E$1</definedName>
    <definedName name="BExGUIBXBRHGM97ZX6GBA4ZDQ79C">'[7]Exploration Cost centres NGS'!$F$9:$G$9</definedName>
    <definedName name="BExGUM8D91UNPCOO4TKP9FGX85TF">'[7]Exploration Cost centres NGS'!$C$15:$D$29</definedName>
    <definedName name="BExGUQF9N9FKI7S0H30WUAEB5LPD">'[7]Exploration Cost centres NGS'!$K$2</definedName>
    <definedName name="BExGUR6BA03XPBK60SQUW197GJ5X">'[7]Exploration Cost centres NGS'!$I$7:$J$7</definedName>
    <definedName name="BExGUVIP60TA4B7X2PFGMBFUSKGX">'[7]Exploration Cost centres NGS'!$F$10:$G$10</definedName>
    <definedName name="BExGUZKF06F209XL1IZWVJEQ82EE">'[7]Exploration Cost centres NGS'!$I$9:$J$9</definedName>
    <definedName name="BExGV2EVT380QHD4AP2RL9MR8L5L">'[7]Exploration Cost centres NGS'!$I$10:$J$10</definedName>
    <definedName name="BExGVV6OOLDQ3TXZK51TTF3YX0WN">'[7]Exploration Cost centres NGS'!$F$10:$G$10</definedName>
    <definedName name="BExGW0KVS7U0C87XFZ78QW991IEV">'[7]Exploration Cost centres NGS'!$I$7:$J$7</definedName>
    <definedName name="BExGW2Z7AMPG6H9EXA9ML6EZVGGA">'[7]Exploration Cost centres NGS'!$F$15</definedName>
    <definedName name="BExGWABG5VT5XO1A196RK61AXA8C">'[7]Exploration Cost centres NGS'!$F$7:$G$7</definedName>
    <definedName name="BExGWEO0JDG84NYLEAV5NSOAGMJZ">'[7]Exploration Cost centres NGS'!$C$15:$D$29</definedName>
    <definedName name="BExGWLEOC70Z8QAJTPT2PDHTNM4L">'[7]Exploration Cost centres NGS'!$F$7:$G$7</definedName>
    <definedName name="BExGWNCXLCRTLBVMTXYJ5PHQI6SS">'[7]Exploration Cost centres NGS'!$C$15:$D$29</definedName>
    <definedName name="BExGX6U988MCFIGDA1282F92U9AA">'[7]Exploration Cost centres NGS'!$F$11:$G$11</definedName>
    <definedName name="BExGX7FTB1CKAT5HUW6H531FIY6I">'[7]Exploration Cost centres NGS'!$E$1</definedName>
    <definedName name="BExGX9DVACJQIZ4GH6YAD2A7F70O">'[7]Exploration Cost centres NGS'!$I$9:$J$9</definedName>
    <definedName name="BExGXDVP2S2Y8Z8Q43I78RCIK3DD">'[7]Exploration Cost centres NGS'!$F$10:$G$10</definedName>
    <definedName name="BExGXJ9W5JU7TT9S0BKL5Y6VVB39">'[7]Exploration Cost centres NGS'!$I$6:$J$6</definedName>
    <definedName name="BExGXWB73RJ4BASBQTQ8EY0EC1EB">'[7]Exploration Cost centres NGS'!$K$2</definedName>
    <definedName name="BExGXZ0ABB43C7SMRKZHWOSU9EQX">'[7]Exploration Cost centres NGS'!$F$8:$G$8</definedName>
    <definedName name="BExGY6SU3SYVCJ3AG2ITY59SAZ5A">'[7]Exploration Cost centres NGS'!$F$15:$G$16</definedName>
    <definedName name="BExGY6YA4P5KMY2VHT0DYK3YTFAX">'[7]Exploration Cost centres NGS'!$F$9:$G$9</definedName>
    <definedName name="BExGY8G88PVVRYHPHRPJZFSX6HSC">'[7]Exploration Cost centres NGS'!$F$8:$G$8</definedName>
    <definedName name="BExGYC718HTZ80PNKYPVIYGRJVF6">'[7]Exploration Cost centres NGS'!$I$7:$J$7</definedName>
    <definedName name="BExGYCNATXZY2FID93B17YWIPPRD">'[7]Exploration Cost centres NGS'!$G$2</definedName>
    <definedName name="BExGYGJJJ3BBCQAOA51WHP01HN73">'[7]Exploration Cost centres NGS'!$F$11:$G$11</definedName>
    <definedName name="BExGYOS6TV2C72PLRFU8RP1I58GY">'[7]Exploration Cost centres NGS'!$F$8:$G$8</definedName>
    <definedName name="BExGZ7NXZ0IBS44C2NZ9VMD6T6K2">'[7]Exploration Cost centres NGS'!$C$15:$D$15</definedName>
    <definedName name="BExGZJ78ZWZCVHZ3BKEKFJZ6MAEO">'[7]Exploration Cost centres NGS'!$I$11:$J$11</definedName>
    <definedName name="BExGZOLH2QV73J3M9IWDDPA62TP4">'[7]Exploration Cost centres NGS'!$I$9:$J$9</definedName>
    <definedName name="BExGZP1PWGFKVVVN4YDIS22DZPCR">'[7]Exploration Cost centres NGS'!$I$6:$J$6</definedName>
    <definedName name="BExH00L21GZX5YJJGVMOAWBERLP5">'[7]Exploration Cost centres NGS'!$I$9:$J$9</definedName>
    <definedName name="BExH02ZD6VAY1KQLAQYBBI6WWIZB">'[7]Exploration Cost centres NGS'!$C$15:$D$29</definedName>
    <definedName name="BExH08Z6LQCGGSGSAILMHX4X7JMD">'[7]Exploration Cost centres NGS'!$I$6:$J$6</definedName>
    <definedName name="BExH0KT9Z8HEVRRQRGQ8YHXRLIJA">'[7]Exploration Cost centres NGS'!$I$9:$J$9</definedName>
    <definedName name="BExH0M0FDN12YBOCKL3XL2Z7T7Y8">'[7]Exploration Cost centres NGS'!$F$10:$G$10</definedName>
    <definedName name="BExH0O9G06YPZ5TN9RYT326I1CP2">'[7]Exploration Cost centres NGS'!$F$7:$G$7</definedName>
    <definedName name="BExH0WNJAKTJRCKMTX8O4KNMIIJM">'[7]Exploration Cost centres NGS'!$E$1</definedName>
    <definedName name="BExH12Y4WX542WI3ZEM15AK4UM9J">'[7]Exploration Cost centres NGS'!$F$7:$G$7</definedName>
    <definedName name="BExH1FDTQXR9QQ31WDB7OPXU7MPT">'[7]Exploration Cost centres NGS'!$C$15:$D$29</definedName>
    <definedName name="BExH1FOMEUIJNIDJAUY0ZQFBJSY9">'[7]Exploration Cost centres NGS'!$I$6:$J$6</definedName>
    <definedName name="BExH1JFFHEBFX9BWJMNIA3N66R3Z">'[7]Exploration Cost centres NGS'!$F$10:$G$10</definedName>
    <definedName name="BExH1Z0GIUSVTF2H1G1I3PDGBNK2">'[7]Exploration Cost centres NGS'!$K$2</definedName>
    <definedName name="BExH225UTM6S9FW4MUDZS7F1PQSH">'[7]Exploration Cost centres NGS'!$I$7:$J$7</definedName>
    <definedName name="BExH23271RF7AYZ542KHQTH68GQ7">'[7]Exploration Cost centres NGS'!$F$10:$G$10</definedName>
    <definedName name="BExH2GJQR4JALNB314RY0LDI49VH">'[7]Exploration Cost centres NGS'!$I$7:$J$7</definedName>
    <definedName name="BExH2JZR49T7644JFVE7B3N7RZM9">'[7]Exploration Cost centres NGS'!$I$6:$J$6</definedName>
    <definedName name="BExH2UHF0QTJG107MULYB16WBJM9">'[7]Exploration Cost centres NGS'!$I$8:$J$8</definedName>
    <definedName name="BExH2WKXV8X5S2GSBBTWGI0NLNAH">'[7]Exploration Cost centres NGS'!$H$2:$I$2</definedName>
    <definedName name="BExH2XS1UFYFGU0S0EBXX90W2WE8">'[7]Exploration Cost centres NGS'!$I$9:$J$9</definedName>
    <definedName name="BExH2XS2TND9SB0GC295R4FP6K5Y">'[7]Exploration Cost centres NGS'!$I$2:$J$2</definedName>
    <definedName name="BExH2ZA0SZ4SSITL50NA8LZ3OEX6">'[7]Exploration Cost centres NGS'!$E$1</definedName>
    <definedName name="BExH31Z3JNVJPESWKXHILGXZHP2M">'[7]Exploration Cost centres NGS'!$F$6:$G$6</definedName>
    <definedName name="BExH3E9HZ3QJCDZW7WI7YACFQCHE">'[7]Exploration Cost centres NGS'!$F$9:$G$9</definedName>
    <definedName name="BExH3IRB6764RQ5HBYRLH6XCT29X">'[7]Exploration Cost centres NGS'!$I$10:$J$10</definedName>
    <definedName name="BExIG2U8V6RSB47SXLCQG3Q68YRO">'[7]Exploration Cost centres NGS'!$G$2</definedName>
    <definedName name="BExIGJBO8R13LV7CZ7C1YCP974NN">'[7]Exploration Cost centres NGS'!$F$10:$G$10</definedName>
    <definedName name="BExIGWT86FPOEYTI8GXCGU5Y3KGK">'[7]Exploration Cost centres NGS'!$E$1</definedName>
    <definedName name="BExIHBHXA7E7VUTBVHXXXCH3A5CL">'[7]Exploration Cost centres NGS'!$I$9:$J$9</definedName>
    <definedName name="BExIHPQCQTGEW8QOJVIQ4VX0P6DX">'[7]Exploration Cost centres NGS'!$I$9:$J$9</definedName>
    <definedName name="BExII1KN91Q7DLW0UB7W2TJ5ACT9">'[7]Exploration Cost centres NGS'!$I$9:$J$9</definedName>
    <definedName name="BExII50LI8I0CDOOZEMIVHVA2V95">'[7]Exploration Cost centres NGS'!$I$11:$J$11</definedName>
    <definedName name="BExIIXMY38TQD12CVV4S57L3I809">'[7]Exploration Cost centres NGS'!$I$9:$J$9</definedName>
    <definedName name="BExIIY37NEVU2LGS1JE4VR9AN6W4">'[7]Exploration Cost centres NGS'!$I$11:$J$11</definedName>
    <definedName name="BExIIYJAGXR8TPZ1KCYM7EGJ79UW">'[7]Exploration Cost centres NGS'!$I$9:$J$9</definedName>
    <definedName name="BExIJ3160YCWGAVEU0208ZGXXG3P">'[7]Exploration Cost centres NGS'!$I$7:$J$7</definedName>
    <definedName name="BExIJFGZJ5ED9D6KAY4PGQYLELAX">'[7]Exploration Cost centres NGS'!$C$15:$D$29</definedName>
    <definedName name="BExIJQK80ZEKSTV62E59AYJYUNLI">'[7]Exploration Cost centres NGS'!$F$6:$G$6</definedName>
    <definedName name="BExIJRLX3M0YQLU1D5Y9V7HM5QNM">'[7]Exploration Cost centres NGS'!$I$8:$J$8</definedName>
    <definedName name="BExIJV22J0QA7286KNPMHO1ZUCB3">'[7]Exploration Cost centres NGS'!$I$9:$J$9</definedName>
    <definedName name="BExIJVI6OC7B6ZE9V4PAOYZXKNER">'[7]Exploration Cost centres NGS'!$F$9:$G$9</definedName>
    <definedName name="BExIJWK0NGTGQ4X7D5VIVXD14JHI">'[7]Exploration Cost centres NGS'!$I$11:$J$11</definedName>
    <definedName name="BExIJWPCIYINEJUTXU74VK7WG031">'[7]Exploration Cost centres NGS'!$F$11:$G$11</definedName>
    <definedName name="BExIKHTXPZR5A8OHB6HDP6QWDHAD">'[7]Exploration Cost centres NGS'!$I$6:$J$6</definedName>
    <definedName name="BExIKMMJOETSAXJYY1SIKM58LMA2">'[7]Exploration Cost centres NGS'!$G$2</definedName>
    <definedName name="BExIKRF6AQ6VOO9KCIWSM6FY8M7D">'[7]Exploration Cost centres NGS'!$F$11:$G$11</definedName>
    <definedName name="BExIKTYZESFT3LC0ASFMFKSE0D1X">'[7]Exploration Cost centres NGS'!$G$2</definedName>
    <definedName name="BExIKXVA6M8K0PTRYAGXS666L335">'[7]Exploration Cost centres NGS'!$G$2</definedName>
    <definedName name="BExIL0PMZ2SXK9R6MLP43KBU1J2P">'[7]Exploration Cost centres NGS'!$I$11:$J$11</definedName>
    <definedName name="BExILAAXRTRAD18K74M6MGUEEPUM">'[7]Exploration Cost centres NGS'!$F$6:$G$6</definedName>
    <definedName name="BExILG5F338C0FFLMVOKMKF8X5ZP">'[7]Exploration Cost centres NGS'!$C$15:$D$29</definedName>
    <definedName name="BExILGQTQM0HOD0BJI90YO7GOIN3">'[7]Exploration Cost centres NGS'!$I$10:$J$10</definedName>
    <definedName name="BExIM9DBUB7ZGF4B20FVUO9QGOX2">'[7]Exploration Cost centres NGS'!$F$7:$G$7</definedName>
    <definedName name="BExIMGK9Z94TFPWWZFMD10HV0IF6">'[7]Exploration Cost centres NGS'!$I$11:$J$11</definedName>
    <definedName name="BExIMPEGKG18TELVC33T4OQTNBWC">'[7]Exploration Cost centres NGS'!$F$10:$G$10</definedName>
    <definedName name="BExIN4OR435DL1US13JQPOQK8GD5">'[7]Exploration Cost centres NGS'!$K$2</definedName>
    <definedName name="BExINI6A7H3KSFRFA6UBBDPKW37F">'[7]Exploration Cost centres NGS'!$F$10:$G$10</definedName>
    <definedName name="BExINIMK8XC3JOBT2EXYFHHH52H0">'[7]Exploration Cost centres NGS'!$I$11:$J$11</definedName>
    <definedName name="BExINLX401ZKEGWU168DS4JUM2J6">'[7]Exploration Cost centres NGS'!$C$15:$D$29</definedName>
    <definedName name="BExINMYYJO1FTV1CZF6O5XCFAMQX">'[7]Exploration Cost centres NGS'!$E$1</definedName>
    <definedName name="BExINP2H4KI05FRFV5PKZFE00HKO">'[7]Exploration Cost centres NGS'!$I$6:$J$6</definedName>
    <definedName name="BExINZELVWYGU876QUUZCIMXPBQC">'[7]Exploration Cost centres NGS'!$I$8:$J$8</definedName>
    <definedName name="BExIOCQUQHKUU1KONGSDOLQTQEIC">'[7]Exploration Cost centres NGS'!$G$2</definedName>
    <definedName name="BExIOFL8Y5O61VLKTB4H20IJNWS1">'[7]Exploration Cost centres NGS'!$F$6:$G$6</definedName>
    <definedName name="BExIOMBXRW5NS4ZPYX9G5QREZ5J6">'[7]Exploration Cost centres NGS'!$F$11:$G$11</definedName>
    <definedName name="BExIORA3GK78T7C7SNBJJUONJ0LS">'[7]Exploration Cost centres NGS'!$F$15</definedName>
    <definedName name="BExIORFDXP4AVIEBLSTZ8ETSXMNM">'[7]Exploration Cost centres NGS'!$I$7:$J$7</definedName>
    <definedName name="BExIOTZ5EFZ2NASVQ05RH15HRSW6">'[7]Exploration Cost centres NGS'!$F$15</definedName>
    <definedName name="BExIP8YNN6UUE1GZ223SWH7DLGKO">'[7]Exploration Cost centres NGS'!$I$7:$J$7</definedName>
    <definedName name="BExIPAB4AOL592OJCC1CFAXTLF1A">'[7]Exploration Cost centres NGS'!$I$6:$J$6</definedName>
    <definedName name="BExIPB25DKX4S2ZCKQN7KWSC3JBF">'[7]Exploration Cost centres NGS'!$F$11:$G$11</definedName>
    <definedName name="BExIPDLT8JYAMGE5HTN4D1YHZF3V">'[7]Exploration Cost centres NGS'!$E$1</definedName>
    <definedName name="BExIPG040Q08EWIWL6CAVR3GRI43">'[7]Exploration Cost centres NGS'!$I$7:$J$7</definedName>
    <definedName name="BExIPKNFUDPDKOSH5GHDVNA8D66S">'[7]Exploration Cost centres NGS'!$I$11:$J$11</definedName>
    <definedName name="BExIQ1VS9A2FHVD9TUHKG9K8EVVP">'[7]Exploration Cost centres NGS'!$F$11:$G$11</definedName>
    <definedName name="BExIQ3J19L30PSQ2CXNT6IHW0I7V">'[7]Exploration Cost centres NGS'!$I$9:$J$9</definedName>
    <definedName name="BExIQ3OJ7M04XCY276IO0LJA5XUK">'[7]Exploration Cost centres NGS'!$F$11:$G$11</definedName>
    <definedName name="BExIQ5S19ITB0NDRUN4XV7B905ED">'[7]Exploration Cost centres NGS'!$F$15</definedName>
    <definedName name="BExIQ9TMQT2EIXSVQW7GVSOAW2VJ">'[7]Exploration Cost centres NGS'!$I$8:$J$8</definedName>
    <definedName name="BExIQBMDE1L6J4H27K1FMSHQKDSE">'[7]Exploration Cost centres NGS'!$I$8:$J$8</definedName>
    <definedName name="BExIQE65LVXUOF3UZFO7SDHFJH22">'[7]Exploration Cost centres NGS'!$G$2</definedName>
    <definedName name="BExIQG9OO2KKBOWTMD1OXY36TEGA">'[7]Exploration Cost centres NGS'!$F$10:$G$10</definedName>
    <definedName name="BExIQX1XBB31HZTYEEVOBSE3C5A6">'[7]Exploration Cost centres NGS'!$I$10:$J$10</definedName>
    <definedName name="BExIQYP5T1TPAQYW7QU1Q98BKX7W">'[7]Exploration Cost centres NGS'!$G$2:$H$2</definedName>
    <definedName name="BExIR2ALYRP9FW99DK2084J7IIDC">'[7]Exploration Cost centres NGS'!$I$10:$J$10</definedName>
    <definedName name="BExIR8FQETPTQYW37DBVDWG3J4JW">'[7]Exploration Cost centres NGS'!$F$7:$G$7</definedName>
    <definedName name="BExIRRBGTY01OQOI3U5SW59RFDFI">'[7]Exploration Cost centres NGS'!$I$8:$J$8</definedName>
    <definedName name="BExIS4T0DRF57HYO7OGG72KBOFOI">'[7]Exploration Cost centres NGS'!$F$15:$G$34</definedName>
    <definedName name="BExIS77BJDDK18PGI9DSEYZPIL7P">'[7]Exploration Cost centres NGS'!$F$10:$G$10</definedName>
    <definedName name="BExIS8USL1T3Z97CZ30HJ98E2GXQ">'[7]Exploration Cost centres NGS'!$F$9:$G$9</definedName>
    <definedName name="BExISC5B700MZUBFTQ9K4IKTF7HR">'[7]Exploration Cost centres NGS'!$K$2</definedName>
    <definedName name="BExISDHXS49S1H56ENBPRF1NLD5C">'[7]Exploration Cost centres NGS'!$I$6:$J$6</definedName>
    <definedName name="BExISM1JLV54A21A164IURMPGUMU">'[7]Exploration Cost centres NGS'!$F$7:$G$7</definedName>
    <definedName name="BExISRFKJYUZ4AKW44IJF7RF9Y90">'[7]Exploration Cost centres NGS'!$F$10:$G$10</definedName>
    <definedName name="BExIT1MK8TBAK3SNP36A8FKDQSOK">'[7]Exploration Cost centres NGS'!$F$11:$G$11</definedName>
    <definedName name="BExITBNYANV2S8KD56GOGCKW393R">'[7]Exploration Cost centres NGS'!$F$9:$G$9</definedName>
    <definedName name="BExIUD4OJGH65NFNQ4VMCE3R4J1X">'[7]Exploration Cost centres NGS'!$F$7:$G$7</definedName>
    <definedName name="BExIUTB5OAAXYW0OFMP0PS40SPOB">'[7]Exploration Cost centres NGS'!$I$10:$J$10</definedName>
    <definedName name="BExIUUT2MHIOV6R3WHA0DPM1KBKY">'[7]Exploration Cost centres NGS'!$C$15:$D$29</definedName>
    <definedName name="BExIUYPDT1AM6MWGWQS646PIZIWC">'[7]Exploration Cost centres NGS'!$I$10:$J$10</definedName>
    <definedName name="BExIV0I2O9F8D1UK1SI8AEYR6U0A">'[7]Exploration Cost centres NGS'!$G$2</definedName>
    <definedName name="BExIV2LM38XPLRTWT0R44TMQ59E5">'[7]Exploration Cost centres NGS'!$F$15</definedName>
    <definedName name="BExIV3HY4S0YRV1F7XEMF2YHAR2I">'[7]Exploration Cost centres NGS'!$I$10:$J$10</definedName>
    <definedName name="BExIV6HUZFRIFLXW2SICKGTAH1PV">'[7]Exploration Cost centres NGS'!$I$11:$J$11</definedName>
    <definedName name="BExIVC6WZMHRBRGIBUVX0CO2RK05">'[7]Exploration Cost centres NGS'!$F$10:$G$10</definedName>
    <definedName name="BExIVCXWL6H5LD9DHDIA4F5U9TQL">'[7]Exploration Cost centres NGS'!$F$15</definedName>
    <definedName name="BExIVMOIPSEWSIHIDDLOXESQ28A0">'[7]Exploration Cost centres NGS'!$F$11:$G$11</definedName>
    <definedName name="BExIVNVNJX9BYDLC88NG09YF5XQ6">'[7]Exploration Cost centres NGS'!$I$9:$J$9</definedName>
    <definedName name="BExIVQVKLMGSRYT1LFZH0KUIA4OR">'[7]Exploration Cost centres NGS'!$I$11:$J$11</definedName>
    <definedName name="BExIVYTFI35KNR2XSA6N8OJYUTUR">'[7]Exploration Cost centres NGS'!$E$1</definedName>
    <definedName name="BExIWB3SY3WRIVIOF988DNNODBOA">'[7]Exploration Cost centres NGS'!$G$2</definedName>
    <definedName name="BExIWB99CG0H52LRD6QWPN4L6DV2">'[7]Exploration Cost centres NGS'!$F$8:$G$8</definedName>
    <definedName name="BExIWG1W7XP9DFYYSZAIOSHM0QLQ">'[7]Exploration Cost centres NGS'!$E$1</definedName>
    <definedName name="BExIWH3KUK94B7833DD4TB0Y6KP9">'[7]Exploration Cost centres NGS'!$F$6:$G$6</definedName>
    <definedName name="BExIWKE9MGIDWORBI43AWTUNYFAN">'[7]Exploration Cost centres NGS'!$K$2</definedName>
    <definedName name="BExIX34PM5DBTRHRQWP6PL6WIX88">'[7]Exploration Cost centres NGS'!$F$8:$G$8</definedName>
    <definedName name="BExIX5OAP9KSUE5SIZCW9P39Q4WE">'[7]Exploration Cost centres NGS'!$I$10:$J$10</definedName>
    <definedName name="BExIXGRJPVJMUDGSG7IHPXPNO69B">'[7]Exploration Cost centres NGS'!$G$2</definedName>
    <definedName name="BExIXM5R87ZL3FHALWZXYCPHGX3E">'[7]Exploration Cost centres NGS'!$F$7:$G$7</definedName>
    <definedName name="BExIXS036ZCKT2Z8XZKLZ8PFWQGL">'[7]Exploration Cost centres NGS'!$I$7:$J$7</definedName>
    <definedName name="BExIXY5CF9PFM0P40AZ4U51TMWV0">'[7]Exploration Cost centres NGS'!$F$9:$G$9</definedName>
    <definedName name="BExIYEXJBK8JDWIRSVV4RJSKZVV1">'[7]Exploration Cost centres NGS'!$I$8:$J$8</definedName>
    <definedName name="BExIYH6FLGIPWHP99ZQPNZ4LTWWE">'[7]Exploration Cost centres NGS'!$F$7:$G$7</definedName>
    <definedName name="BExIYI2RH0K4225XO970K2IQ1E79">'[7]Exploration Cost centres NGS'!$C$15:$D$29</definedName>
    <definedName name="BExIYMPZ0KS2KOJFQAUQJ77L7701">'[7]Exploration Cost centres NGS'!$G$2</definedName>
    <definedName name="BExIYP9Q6FV9T0R9G3UDKLS4TTYX">'[7]Exploration Cost centres NGS'!$F$6:$G$6</definedName>
    <definedName name="BExIYZGLDQ1TN7BIIN4RLDP31GIM">'[7]Exploration Cost centres NGS'!$F$8:$G$8</definedName>
    <definedName name="BExIZ4K0EZJK6PW3L8SVKTJFSWW9">'[7]Exploration Cost centres NGS'!$F$15:$F$15</definedName>
    <definedName name="BExIZAECOEZGBAO29QMV14E6XDIV">'[7]Exploration Cost centres NGS'!$G$2:$H$2</definedName>
    <definedName name="BExIZKVXYD5O2JBU81F2UFJZLLSI">'[7]Exploration Cost centres NGS'!$F$8:$G$8</definedName>
    <definedName name="BExIZPZDHC8HGER83WHCZAHOX7LK">'[7]Exploration Cost centres NGS'!$F$11:$G$11</definedName>
    <definedName name="BExIZY2PUZ0OF9YKK1B13IW0VS6G">'[7]Exploration Cost centres NGS'!$F$15</definedName>
    <definedName name="BExJ08KBRR2XMWW3VZMPSQKXHZUH">'[7]Exploration Cost centres NGS'!$E$1</definedName>
    <definedName name="BExJ0DYJWXGE7DA39PYL3WM05U9O">'[7]Exploration Cost centres NGS'!$F$15</definedName>
    <definedName name="BExJ0MY8SY5J5V50H3UKE78ODTVB">'[7]Exploration Cost centres NGS'!$I$8:$J$8</definedName>
    <definedName name="BExJ0YC98G37ML4N8FLP8D95EFRF">'[7]Exploration Cost centres NGS'!$G$2</definedName>
    <definedName name="BExKCDYKAEV45AFXHVHZZ62E5BM3">'[7]Exploration Cost centres NGS'!$G$2</definedName>
    <definedName name="BExKDKO0W4AGQO1V7K6Q4VM750FT">'[7]Exploration Cost centres NGS'!$F$11:$G$11</definedName>
    <definedName name="BExKDLF10G7W77J87QWH3ZGLUCLW">'[7]Exploration Cost centres NGS'!$I$10:$J$10</definedName>
    <definedName name="BExKEFE0I3MT6ZLC4T1L9465HKTN">'[7]Exploration Cost centres NGS'!$F$8:$G$8</definedName>
    <definedName name="BExKEK6O5BVJP4VY02FY7JNAZ6BT">'[7]Exploration Cost centres NGS'!$I$6:$J$6</definedName>
    <definedName name="BExKEKXK6E6QX339ELPXDIRZSJE0">'[7]Exploration Cost centres NGS'!$I$7:$J$7</definedName>
    <definedName name="BExKEOOIBMP7N8033EY2CJYCBX6H">'[7]Exploration Cost centres NGS'!$F$10:$G$10</definedName>
    <definedName name="BExKEW0RR5LA3VC46A2BEOOMQE56">'[7]Exploration Cost centres NGS'!$F$8:$G$8</definedName>
    <definedName name="BExKFA3VI1CZK21SM0N3LZWT9LA1">'[7]Exploration Cost centres NGS'!$F$11:$G$11</definedName>
    <definedName name="BExKFINBFV5J2NFRCL4YUO3YF0ZE">'[7]Exploration Cost centres NGS'!$F$11:$G$11</definedName>
    <definedName name="BExKFISRBFACTAMJSALEYMY66F6X">'[7]Exploration Cost centres NGS'!$F$8:$G$8</definedName>
    <definedName name="BExKFOSK5DJ151C4E8544UWMYTOC">'[7]Exploration Cost centres NGS'!$I$7:$J$7</definedName>
    <definedName name="BExKFYJC4EVEV54F82K6VKP7Q3OU">'[7]Exploration Cost centres NGS'!$I$6:$J$6</definedName>
    <definedName name="BExKG4IYHBKQQ8J8FN10GB2IKO33">'[7]Exploration Cost centres NGS'!$I$8:$J$8</definedName>
    <definedName name="BExKGF0L44S78D33WMQ1A75TRKB9">'[7]Exploration Cost centres NGS'!$I$10:$J$10</definedName>
    <definedName name="BExKGFRN31B3G20LMQ4LRF879J68">'[7]Exploration Cost centres NGS'!$I$8:$J$8</definedName>
    <definedName name="BExKGJD3U3ADZILP20U3EURP0UQP">'[7]Exploration Cost centres NGS'!$I$9:$J$9</definedName>
    <definedName name="BExKGNK5YGKP0YHHTAAOV17Z9EIM">'[7]Exploration Cost centres NGS'!$F$10:$G$10</definedName>
    <definedName name="BExKGV77YH9YXIQTRKK2331QGYKF">'[7]Exploration Cost centres NGS'!$F$8:$G$8</definedName>
    <definedName name="BExKH3FTZ5VGTB86W9M4AB39R0G8">'[7]Exploration Cost centres NGS'!$F$6:$G$6</definedName>
    <definedName name="BExKH3FV5U5O6XZM7STS3NZKQFGJ">'[7]Exploration Cost centres NGS'!$H$2:$I$2</definedName>
    <definedName name="BExKHAMUH8NR3HRV0V6FHJE3ROLN">'[7]Exploration Cost centres NGS'!$I$8:$J$8</definedName>
    <definedName name="BExKHCFKOWFHO2WW0N7Y5XDXEWAO">'[7]Exploration Cost centres NGS'!$I$11:$J$11</definedName>
    <definedName name="BExKHIVLONZ46HLMR50DEXKEUNEP">'[7]Exploration Cost centres NGS'!$F$7:$G$7</definedName>
    <definedName name="BExKHKDK2PRBCUJS8TEDP8K3VODQ">'[7]Exploration Cost centres NGS'!$J$2:$K$2</definedName>
    <definedName name="BExKHPM9XA0ADDK7TUR0N38EXWEP">'[7]Exploration Cost centres NGS'!$F$10:$G$10</definedName>
    <definedName name="BExKI4076KXCDE5KXL79KT36OKLO">'[7]Exploration Cost centres NGS'!$C$15:$D$29</definedName>
    <definedName name="BExKI7LO70WYISR7Q0Y1ZDWO9M3B">'[7]Exploration Cost centres NGS'!$I$8:$J$8</definedName>
    <definedName name="BExKIGQV6TXIZG039HBOJU62WP2U">'[7]Exploration Cost centres NGS'!$I$11:$J$11</definedName>
    <definedName name="BExKILE008SF3KTAN8WML3XKI1NZ">'[7]Exploration Cost centres NGS'!$K$2</definedName>
    <definedName name="BExKINSBB6RS7I489QHMCOMU4Z2X">'[7]Exploration Cost centres NGS'!$F$15</definedName>
    <definedName name="BExKIU87ZKSOC2DYZWFK6SAK9I8E">'[7]Exploration Cost centres NGS'!$F$6:$G$6</definedName>
    <definedName name="BExKJ449HLYX2DJ9UF0H9GTPSQ73">'[7]Exploration Cost centres NGS'!$I$8:$J$8</definedName>
    <definedName name="BExKJ5BF14V5XDO3AO3V02VNLUKB">'[7]Exploration Cost centres NGS'!$C$15:$D$19</definedName>
    <definedName name="BExKJELX2RUC8UEC56IZPYYZXHA7">'[7]Exploration Cost centres NGS'!$F$8:$G$8</definedName>
    <definedName name="BExKJINMXS61G2TZEXCJAWVV4F57">'[7]Exploration Cost centres NGS'!$F$6:$G$6</definedName>
    <definedName name="BExKJK5ME8KB7HA0180L7OUZDDGV">'[7]Exploration Cost centres NGS'!$F$11:$G$11</definedName>
    <definedName name="BExKJN5IF0VMDILJ5K8ZENF2QYV1">'[7]Exploration Cost centres NGS'!$H$2:$I$2</definedName>
    <definedName name="BExKJUSJPFUIK20FTVAFJWR2OUYX">'[7]Exploration Cost centres NGS'!$I$11:$J$11</definedName>
    <definedName name="BExKK8VP5RS3D0UXZVKA37C4SYBP">'[7]Exploration Cost centres NGS'!$F$11:$G$11</definedName>
    <definedName name="BExKKIM9NPF6B3SPMPIQB27HQME4">'[7]Exploration Cost centres NGS'!$F$11:$G$11</definedName>
    <definedName name="BExKKIX1BCBQ4R3K41QD8NTV0OV0">'[7]Exploration Cost centres NGS'!$I$8:$J$8</definedName>
    <definedName name="BExKKQ3ZWADYV03YHMXDOAMU90EB">'[7]Exploration Cost centres NGS'!$E$1</definedName>
    <definedName name="BExKKUGD2HMJWQEYZ8H3X1BMXFS9">'[7]Exploration Cost centres NGS'!$F$9:$G$9</definedName>
    <definedName name="BExKKX05KCZZZPKOR1NE5A8RGVT4">'[7]Exploration Cost centres NGS'!$I$11:$J$11</definedName>
    <definedName name="BExKLD6S9L66QYREYHBE5J44OK7X">'[7]Exploration Cost centres NGS'!$I$6:$J$6</definedName>
    <definedName name="BExKLEZK32L28GYJWVO63BZ5E1JD">'[7]Exploration Cost centres NGS'!$F$9:$G$9</definedName>
    <definedName name="BExKLLKVVHT06LA55JB2FC871DC5">'[7]Exploration Cost centres NGS'!$I$8:$J$8</definedName>
    <definedName name="BExKMWBX4EH3EYJ07UFEM08NB40Z">'[7]Exploration Cost centres NGS'!$F$10:$G$10</definedName>
    <definedName name="BExKNBGV2IR3S7M0BX4810KZB4V3">'[7]Exploration Cost centres NGS'!$H$2:$I$2</definedName>
    <definedName name="BExKNCTBZTSY3MO42VU5PLV6YUHZ">'[7]Exploration Cost centres NGS'!$F$10:$G$10</definedName>
    <definedName name="BExKNGV2YY749C42AQ2T9QNIE5C3">'[7]Exploration Cost centres NGS'!$F$7:$G$7</definedName>
    <definedName name="BExKNV8UOHVWEHDJWI2WMJ9X6QHZ">'[7]Exploration Cost centres NGS'!$I$9:$J$9</definedName>
    <definedName name="BExKNZLD7UATC1MYRNJD8H2NH4KU">'[7]Exploration Cost centres NGS'!$F$15</definedName>
    <definedName name="BExKNZQUKQQG2Y97R74G4O4BJP1L">'[7]Exploration Cost centres NGS'!$F$10:$G$10</definedName>
    <definedName name="BExKO06X0EAD3ABEG1E8PWLDWHBA">'[7]Exploration Cost centres NGS'!$I$9:$J$9</definedName>
    <definedName name="BExKO2AHHSGNI1AZOIOW21KPXKPE">'[7]Exploration Cost centres NGS'!$F$11:$G$11</definedName>
    <definedName name="BExKO2FXWJWC5IZLDN8JHYILQJ2N">'[7]Exploration Cost centres NGS'!$I$11:$J$11</definedName>
    <definedName name="BExKO438WZ8FKOU00NURGFMOYXWN">'[7]Exploration Cost centres NGS'!$I$6:$J$6</definedName>
    <definedName name="BExKODIZGWW2EQD0FEYW6WK6XLCM">'[7]Exploration Cost centres NGS'!$I$6:$J$6</definedName>
    <definedName name="BExKOPO2HPWVQGAKW8LOZMPIDEFG">'[7]Exploration Cost centres NGS'!$F$9:$G$9</definedName>
    <definedName name="BExKPEZP0QTKOTLIMMIFSVTHQEEK">'[7]Exploration Cost centres NGS'!$F$8:$G$8</definedName>
    <definedName name="BExKPLQJX0HJ8OTXBXH9IC9J2V0W">'[7]Exploration Cost centres NGS'!$C$15:$D$29</definedName>
    <definedName name="BExKPN8C7GN36ZJZHLOB74LU6KT0">'[7]Exploration Cost centres NGS'!$F$7:$G$7</definedName>
    <definedName name="BExKPX9VZ1J5021Q98K60HMPJU58">'[7]Exploration Cost centres NGS'!$G$2</definedName>
    <definedName name="BExKQJGAAWNM3NT19E9I0CQDBTU0">'[7]Exploration Cost centres NGS'!$C$15:$D$29</definedName>
    <definedName name="BExKQM5GJ1ZN5REKFE7YVBQ0KXWF">'[7]Exploration Cost centres NGS'!$F$8:$G$8</definedName>
    <definedName name="BExKQOEA7HV9U5DH9C8JXFD62EKH">'[7]Exploration Cost centres NGS'!$F$11:$G$11</definedName>
    <definedName name="BExKQQ71278061G7ZFYGPWOMOMY2">'[7]Exploration Cost centres NGS'!$F$7:$G$7</definedName>
    <definedName name="BExKQTXRG3ECU8NT47UR7643LO5G">'[7]Exploration Cost centres NGS'!$F$7:$G$7</definedName>
    <definedName name="BExKQVL7HPOIZ4FHANDFMVOJLEPR">'[7]Exploration Cost centres NGS'!$F$10:$G$10</definedName>
    <definedName name="BExKR32XG1WY77WDT8KW9FJPGQTU">'[7]Exploration Cost centres NGS'!$I$9:$J$9</definedName>
    <definedName name="BExKR8RZSEHW184G0Z56B4EGNU72">'[7]Exploration Cost centres NGS'!$F$15:$G$26</definedName>
    <definedName name="BExKRVUSQ6PA7ZYQSTEQL3X7PB9P">'[7]Exploration Cost centres NGS'!$I$6:$J$6</definedName>
    <definedName name="BExKRY3KZ7F7RB2KH8HXSQ85IEQO">'[7]Exploration Cost centres NGS'!$I$9:$J$9</definedName>
    <definedName name="BExKSA37DZTCK6H13HPIKR0ZFVL8">'[7]Exploration Cost centres NGS'!$F$10:$G$10</definedName>
    <definedName name="BExKSFMOMSZYDE0WNC94F40S6636">'[7]Exploration Cost centres NGS'!$F$10:$G$10</definedName>
    <definedName name="BExKSHQ9K79S8KYUWIV5M5LAHHF1">'[7]Exploration Cost centres NGS'!$I$9:$J$9</definedName>
    <definedName name="BExKSIS3VA1NCEFCZZSIK8B3YIBZ">'[7]Exploration Cost centres NGS'!$I$6:$J$6</definedName>
    <definedName name="BExKSJTWG9L3FCX8FLK4EMUJMF27">'[7]Exploration Cost centres NGS'!$F$7:$G$7</definedName>
    <definedName name="BExKSU0MKNAVZYYPKCYTZDWQX4R8">'[7]Exploration Cost centres NGS'!$F$15:$G$34</definedName>
    <definedName name="BExKSX60G1MUS689FXIGYP2F7C62">'[7]Exploration Cost centres NGS'!$I$10:$J$10</definedName>
    <definedName name="BExKT2UZ7Y2VWF5NQE18SJRLD2RN">'[7]Exploration Cost centres NGS'!$I$9:$J$9</definedName>
    <definedName name="BExKT3GJFNGAM09H5F615E36A38C">'[7]Exploration Cost centres NGS'!$I$11:$J$11</definedName>
    <definedName name="BExKTQZGN8GI3XGSEXMPCCA3S19H">'[7]Exploration Cost centres NGS'!$F$9:$G$9</definedName>
    <definedName name="BExKTUKYYU0F6TUW1RXV24LRAZFE">'[7]Exploration Cost centres NGS'!$I$11:$J$11</definedName>
    <definedName name="BExKU3FBLHQBIUTN6XEZW5GC9OG1">'[7]Exploration Cost centres NGS'!$F$7:$G$7</definedName>
    <definedName name="BExKU82I99FEUIZLODXJDOJC96CQ">'[7]Exploration Cost centres NGS'!$F$10:$G$10</definedName>
    <definedName name="BExKUDM0DFSCM3D91SH0XLXJSL18">'[7]Exploration Cost centres NGS'!$G$2</definedName>
    <definedName name="BExKULEKJLA77AUQPDUHSM94Y76Z">'[7]Exploration Cost centres NGS'!$I$9:$J$9</definedName>
    <definedName name="BExKV08R85MKI3MAX9E2HERNQUNL">'[7]Exploration Cost centres NGS'!$H$2:$I$2</definedName>
    <definedName name="BExKV4AAUNNJL5JWD7PX6BFKVS6O">'[7]Exploration Cost centres NGS'!$F$8:$G$8</definedName>
    <definedName name="BExKVDVK6HN74GQPTXICP9BFC8CF">'[7]Exploration Cost centres NGS'!$I$10:$J$10</definedName>
    <definedName name="BExKVFZ3ZZGIC1QI8XN6BYFWN0ZY">'[7]Exploration Cost centres NGS'!$E$1</definedName>
    <definedName name="BExKVG4KGO28KPGTAFL1R8TTZ10N">'[7]Exploration Cost centres NGS'!$H$2:$I$2</definedName>
    <definedName name="BExKW0CSH7DA02YSNV64PSEIXB2P">'[7]Exploration Cost centres NGS'!$I$11:$J$11</definedName>
    <definedName name="BExM9NUG3Q31X01AI9ZJCZIX25CS">'[7]Exploration Cost centres NGS'!$F$10:$G$10</definedName>
    <definedName name="BExM9OG182RP30MY23PG49LVPZ1C">'[7]Exploration Cost centres NGS'!$C$15:$D$19</definedName>
    <definedName name="BExMA64MW1S18NH8DCKPCCEI5KCB">'[7]Exploration Cost centres NGS'!$F$9:$G$9</definedName>
    <definedName name="BExMALEWFUEM8Y686IT03ECURUBR">'[7]Exploration Cost centres NGS'!$E$1</definedName>
    <definedName name="BExMAR3XSK6RSFLHP7ZX1EWGHASI">'[7]Exploration Cost centres NGS'!$C$15:$D$29</definedName>
    <definedName name="BExMAXJS82ZJ8RS22VLE0V0LDUII">'[7]Exploration Cost centres NGS'!$I$10:$J$10</definedName>
    <definedName name="BExMB4QRS0R3MTB4CMUHFZ84LNZQ">'[7]Exploration Cost centres NGS'!$F$15</definedName>
    <definedName name="BExMBC35WKQY5CWQJLV4D05O6971">'[7]Exploration Cost centres NGS'!$I$2</definedName>
    <definedName name="BExMBFTZV4Q1A5KG25C1N9PHQNSW">'[7]Exploration Cost centres NGS'!$F$15</definedName>
    <definedName name="BExMBK6ISK3U7KHZKUJXIDKGF6VW">'[7]Exploration Cost centres NGS'!$G$2</definedName>
    <definedName name="BExMC8AZUTX8LG89K2JJR7ZG62XX">'[7]Exploration Cost centres NGS'!$F$7:$G$7</definedName>
    <definedName name="BExMCA96YR10V72G2R0SCIKPZLIZ">'[7]Exploration Cost centres NGS'!$C$15:$D$29</definedName>
    <definedName name="BExMCB5JU5I2VQDUBS4O42BTEVKI">'[7]Exploration Cost centres NGS'!$H$2:$I$2</definedName>
    <definedName name="BExMCFSQFSEMPY5IXDIRKZDASDBR">'[7]Exploration Cost centres NGS'!$E$1</definedName>
    <definedName name="BExMCMZOEYWVOOJ98TBHTTCS7XB8">'[7]Exploration Cost centres NGS'!$F$7:$G$7</definedName>
    <definedName name="BExMCS8EF2W3FS9QADNKREYSI8P0">'[7]Exploration Cost centres NGS'!$I$8:$J$8</definedName>
    <definedName name="BExMCUS7GSOM96J0HJ7EH0FFM2AC">'[7]Exploration Cost centres NGS'!$F$6:$G$6</definedName>
    <definedName name="BExMCYTT6TVDWMJXO1NZANRTVNAN">'[7]Exploration Cost centres NGS'!$I$10:$J$10</definedName>
    <definedName name="BExMD5F6IAV108XYJLXUO9HD0IT6">'[7]Exploration Cost centres NGS'!$F$10:$G$10</definedName>
    <definedName name="BExMDANV66W9T3XAXID40XFJ0J93">'[7]Exploration Cost centres NGS'!$F$6:$G$6</definedName>
    <definedName name="BExMDGD1KQP7NNR78X2ZX4FCBQ1S">'[7]Exploration Cost centres NGS'!$E$1</definedName>
    <definedName name="BExMDIRDK0DI8P86HB7WPH8QWLSQ">'[7]Exploration Cost centres NGS'!$I$11:$J$11</definedName>
    <definedName name="BExMDPI2FVMORSWDDCVAJ85WYAYO">'[7]Exploration Cost centres NGS'!$I$11:$J$11</definedName>
    <definedName name="BExMDUWB7VWHFFR266QXO46BNV2S">'[7]Exploration Cost centres NGS'!$F$11:$G$11</definedName>
    <definedName name="BExME2U47N8LZG0BPJ49ANY5QVV2">'[7]Exploration Cost centres NGS'!$F$15</definedName>
    <definedName name="BExME88DH5DUKMUFI9FNVECXFD2E">'[7]Exploration Cost centres NGS'!$F$15:$G$16</definedName>
    <definedName name="BExME9A7MOGAK7YTTQYXP5DL6VYA">'[7]Exploration Cost centres NGS'!$F$9:$G$9</definedName>
    <definedName name="BExMEOV9YFRY5C3GDLU60GIX10BY">'[7]Exploration Cost centres NGS'!$I$7:$J$7</definedName>
    <definedName name="BExMEY09ESM4H2YGKEQQRYUD114R">'[7]Exploration Cost centres NGS'!$F$8:$G$8</definedName>
    <definedName name="BExMF4G4IUPQY1Y5GEY5N3E04CL6">'[7]Exploration Cost centres NGS'!$G$2</definedName>
    <definedName name="BExMF9UIGYMOAQK0ELUWP0S0HZZY">'[7]Exploration Cost centres NGS'!$F$9:$G$9</definedName>
    <definedName name="BExMFDLBSWFMRDYJ2DZETI3EXKN2">'[7]Exploration Cost centres NGS'!$F$11:$G$11</definedName>
    <definedName name="BExMFLDTMRTCHKA37LQW67BG8D5C">'[7]Exploration Cost centres NGS'!$F$7:$G$7</definedName>
    <definedName name="BExMG9NSK30KD01QX0UBN2VNRTG4">'[7]Exploration Cost centres NGS'!$F$9:$G$9</definedName>
    <definedName name="BExMGG3PFIHPHX7NXB7HDFI3N12L">'[7]Exploration Cost centres NGS'!$I$11:$J$11</definedName>
    <definedName name="BExMH3H9TW5TJCNU5Z1EWXP3BAEP">'[7]Exploration Cost centres NGS'!$I$8:$J$8</definedName>
    <definedName name="BExMHOWPB34KPZ76M2KIX2C9R2VB">'[7]Exploration Cost centres NGS'!$C$15:$D$29</definedName>
    <definedName name="BExMHSSYC6KVHA3QDTSYPN92TWMI">'[7]Exploration Cost centres NGS'!$F$6:$G$6</definedName>
    <definedName name="BExMI0WA793SF41LQ40A28U8OXQY">'[7]Exploration Cost centres NGS'!$F$9:$G$9</definedName>
    <definedName name="BExMI3AJ9477KDL4T9DHET4LJJTW">'[7]Exploration Cost centres NGS'!$E$1</definedName>
    <definedName name="BExMI6L9KX05GAK523JFKICJMTA5">'[7]Exploration Cost centres NGS'!$I$6:$J$6</definedName>
    <definedName name="BExMI6QQ20XHD0NWJUN741B37182">'[7]Exploration Cost centres NGS'!$F$9:$G$9</definedName>
    <definedName name="BExMI8JB94SBD9EMNJEK7Y2T6GYU">'[7]Exploration Cost centres NGS'!$I$10:$J$10</definedName>
    <definedName name="BExMI8OS85YTW3KYVE4YD0R7Z6UV">'[7]Exploration Cost centres NGS'!$G$2</definedName>
    <definedName name="BExMIBDVWS097D0MAUTMVO4NXBLU">'[7]Exploration Cost centres NGS'!$I$10:$J$10</definedName>
    <definedName name="BExMIBOOZU40JS3F89OMPSRCE9MM">'[7]Exploration Cost centres NGS'!$C$15:$D$29</definedName>
    <definedName name="BExMIIQ5MBWSIHTFWAQADXMZC22Q">'[7]Exploration Cost centres NGS'!$I$10:$J$10</definedName>
    <definedName name="BExMIL4I2GE866I25CR5JBLJWJ6A">'[7]Exploration Cost centres NGS'!$G$2</definedName>
    <definedName name="BExMIRKIPF27SNO82SPFSB3T5U17">'[7]Exploration Cost centres NGS'!$G$2</definedName>
    <definedName name="BExMIV0KC8555D5E42ZGWG15Y0MO">'[7]Exploration Cost centres NGS'!$C$15:$D$29</definedName>
    <definedName name="BExMIZT6AN7E6YMW2S87CTCN2UXH">'[7]Exploration Cost centres NGS'!$F$10:$G$10</definedName>
    <definedName name="BExMJ15T9F3475M0896SG60TN0SR">'[7]Exploration Cost centres NGS'!$F$11:$G$11</definedName>
    <definedName name="BExMJNC8ZFB9DRFOJ961ZAJ8U3A8">'[7]Exploration Cost centres NGS'!$G$2</definedName>
    <definedName name="BExMJTBV8A3D31W2IQHP9RDFPPHQ">'[7]Exploration Cost centres NGS'!$F$8:$G$8</definedName>
    <definedName name="BExMK2RTXN4QJWEUNX002XK8VQP8">'[7]Exploration Cost centres NGS'!$F$8:$G$8</definedName>
    <definedName name="BExMKBGQDUZ8AWXYHA3QVMSDVZ3D">'[7]Exploration Cost centres NGS'!$I$10:$J$10</definedName>
    <definedName name="BExMKBM1467553LDFZRRKVSHN374">'[7]Exploration Cost centres NGS'!$F$11:$G$11</definedName>
    <definedName name="BExMKGK5FJUC0AU8MABRGDC5ZM70">'[7]Exploration Cost centres NGS'!$F$11:$G$11</definedName>
    <definedName name="BExMKN5IIWYOV1LA0PHQY24907RA">'[7]Exploration Cost centres NGS'!$I$7:$J$7</definedName>
    <definedName name="BExMKTW7R5SOV4PHAFGHU3W73DYE">'[7]Exploration Cost centres NGS'!$J$2:$K$2</definedName>
    <definedName name="BExMKU7051J2W1RQXGZGE62NBRUZ">'[7]Exploration Cost centres NGS'!$F$11:$G$11</definedName>
    <definedName name="BExMKUN3WPECJR2XRID2R7GZRGNX">'[7]Exploration Cost centres NGS'!$C$15:$D$29</definedName>
    <definedName name="BExMKZ535P011X4TNV16GCOH4H21">'[7]Exploration Cost centres NGS'!$E$1</definedName>
    <definedName name="BExML3XQNDIMX55ZCHHXKUV3D6E6">'[7]Exploration Cost centres NGS'!$I$11:$J$11</definedName>
    <definedName name="BExML5QGSWHLI18BGY4CGOTD3UWH">'[7]Exploration Cost centres NGS'!$I$11:$J$11</definedName>
    <definedName name="BExMLO5Z61RE85X8HHX2G4IU3AZW">'[7]Exploration Cost centres NGS'!$I$7:$J$7</definedName>
    <definedName name="BExMLVI7UORSHM9FMO8S2EI0TMTS">'[7]Exploration Cost centres NGS'!$C$15:$D$29</definedName>
    <definedName name="BExMM0WFZV3T9CCWQF0VWV59LCS7">'[7]Exploration Cost centres NGS'!$I$11:$J$11</definedName>
    <definedName name="BExMM5UCOT2HSSN0ZIPZW55GSOVO">'[7]Exploration Cost centres NGS'!$C$15:$D$29</definedName>
    <definedName name="BExMM8ZRS5RQ8H1H55RVPVTDL5NL">'[7]Exploration Cost centres NGS'!$F$7:$G$7</definedName>
    <definedName name="BExMMH8EAZB09XXQ5X4LR0P4NHG9">'[7]Exploration Cost centres NGS'!$I$11:$J$11</definedName>
    <definedName name="BExMMIQH5BABNZVCIQ7TBCQ10AY5">'[7]Exploration Cost centres NGS'!$F$6:$G$6</definedName>
    <definedName name="BExMMNIZ2T7M22WECMUQXEF4NJ71">'[7]Exploration Cost centres NGS'!$E$1</definedName>
    <definedName name="BExMMPMIOU7BURTV0L1K6ACW9X73">'[7]Exploration Cost centres NGS'!$G$2</definedName>
    <definedName name="BExMMQ835AJDHS4B419SS645P67Q">'[7]Exploration Cost centres NGS'!$F$7:$G$7</definedName>
    <definedName name="BExMMQIUVPCOBISTEJJYNCCLUCPY">'[7]Exploration Cost centres NGS'!$G$2:$H$2</definedName>
    <definedName name="BExMMTIXETA5VAKBSOFDD5SRU887">'[7]Exploration Cost centres NGS'!$F$11:$G$11</definedName>
    <definedName name="BExMMV0P6P5YS3C35G0JYYHI7992">'[7]Exploration Cost centres NGS'!$K$2</definedName>
    <definedName name="BExMNDR4V2VG5RFZDGTAGD3Q9PPG">'[7]Exploration Cost centres NGS'!$I$10:$J$10</definedName>
    <definedName name="BExMNJLFWZBRN9PZF1IO9CYWV1B2">'[7]Exploration Cost centres NGS'!$F$9:$G$9</definedName>
    <definedName name="BExMNKCJ0FA57YEUUAJE43U1QN5P">'[7]Exploration Cost centres NGS'!$F$6:$G$6</definedName>
    <definedName name="BExMNKN5D1WEF2OOJVP6LZ6DLU3Y">'[7]Exploration Cost centres NGS'!$I$6:$J$6</definedName>
    <definedName name="BExMNR38HMPLWAJRQ9MMS3ZAZ9IU">'[7]Exploration Cost centres NGS'!$F$9:$G$9</definedName>
    <definedName name="BExMNRDZULKJMVY2VKIIRM2M5A1M">'[7]Exploration Cost centres NGS'!$I$7:$J$7</definedName>
    <definedName name="BExMO9IOWKTWHO8LQJJQI5P3INWY">'[7]Exploration Cost centres NGS'!$F$6:$G$6</definedName>
    <definedName name="BExMOI29DOEK5R1A5QZPUDKF7N6T">'[7]Exploration Cost centres NGS'!$F$11:$G$11</definedName>
    <definedName name="BExMPAJ5AJAXGKGK3F6H3ODS6RF4">'[7]Exploration Cost centres NGS'!$F$7:$G$7</definedName>
    <definedName name="BExMPD2X55FFBVJ6CBUKNPROIOEU">'[7]Exploration Cost centres NGS'!$F$7:$G$7</definedName>
    <definedName name="BExMPGZ848E38FUH1JBQN97DGWAT">'[7]Exploration Cost centres NGS'!$I$10:$J$10</definedName>
    <definedName name="BExMPMTICOSMQENOFKQ18K0ZT4S8">'[7]Exploration Cost centres NGS'!$I$10:$J$10</definedName>
    <definedName name="BExMPMZ07II0R4KGWQQ7PGS3RZS4">'[7]Exploration Cost centres NGS'!$F$9:$G$9</definedName>
    <definedName name="BExMPOBH04JMDO6Z8DMSEJZM4ANN">'[7]Exploration Cost centres NGS'!$F$15</definedName>
    <definedName name="BExMPSD77XQ3HA6A4FZOJK8G2JP3">'[7]Exploration Cost centres NGS'!$C$15:$D$29</definedName>
    <definedName name="BExMQ4I3Q7F0BMPHSFMFW9TZ87UD">'[7]Exploration Cost centres NGS'!$F$9:$G$9</definedName>
    <definedName name="BExMQ4SWDWI4N16AZ0T5CJ6HH8WC">'[7]Exploration Cost centres NGS'!$H$2:$I$2</definedName>
    <definedName name="BExMQ71WHW50GVX45JU951AGPLFQ">'[7]Exploration Cost centres NGS'!$C$15:$D$29</definedName>
    <definedName name="BExMQGXSLPT4A6N47LE6FBVHWBOF">'[7]Exploration Cost centres NGS'!$F$6:$G$6</definedName>
    <definedName name="BExMQSBR7PL4KLB1Q4961QO45Y4G">'[7]Exploration Cost centres NGS'!$F$10:$G$10</definedName>
    <definedName name="BExMR1MA4I1X77714ZEPUVC8W398">'[7]Exploration Cost centres NGS'!$F$9:$G$9</definedName>
    <definedName name="BExMR8YQHA7N77HGHY4Y6R30I3XT">'[7]Exploration Cost centres NGS'!$F$10:$G$10</definedName>
    <definedName name="BExMRENOIARWRYOIVPDIEBVNRDO7">'[7]Exploration Cost centres NGS'!$G$2</definedName>
    <definedName name="BExMRQHUEHGF2FS4LCB0THFELGDI">'[7]Exploration Cost centres NGS'!$I$11:$J$11</definedName>
    <definedName name="BExMRRJNUMGRSDD5GGKKGEIZ6FTS">'[7]Exploration Cost centres NGS'!$I$10:$J$10</definedName>
    <definedName name="BExMRU3ACIU0RD2BNWO55LH5U2BR">'[7]Exploration Cost centres NGS'!$F$15</definedName>
    <definedName name="BExMSQRCC40AP8BDUPL2I2DNC210">'[7]Exploration Cost centres NGS'!$I$6:$J$6</definedName>
    <definedName name="BExO4J9LR712G00TVA82VNTG8O7H">'[7]Exploration Cost centres NGS'!$F$10:$G$10</definedName>
    <definedName name="BExO55G2KVZ7MIJ30N827CLH0I2A">'[7]Exploration Cost centres NGS'!$F$8:$G$8</definedName>
    <definedName name="BExO5A8PZD9EUHC5CMPU6N3SQ15L">'[7]Exploration Cost centres NGS'!$I$7:$J$7</definedName>
    <definedName name="BExO5XMAHL7CY3X0B1OPKZ28DCJ5">'[7]Exploration Cost centres NGS'!$G$2</definedName>
    <definedName name="BExO66LZJKY4PTQVREELI6POS4AY">'[7]Exploration Cost centres NGS'!$H$2:$I$2</definedName>
    <definedName name="BExO6LLHCYTF7CIVHKAO0NMET14Q">'[7]Exploration Cost centres NGS'!$I$6:$J$6</definedName>
    <definedName name="BExO7OUQS3XTUQ2LDKGQ8AAQ3OJJ">'[7]Exploration Cost centres NGS'!$F$6:$G$6</definedName>
    <definedName name="BExO7RUSODZC2NQZMT2AFSMV2ONF">'[7]Exploration Cost centres NGS'!$F$8:$G$8</definedName>
    <definedName name="BExO844ZZYFAJXTFFGE72OCJVF0Z">'[7]Exploration Cost centres NGS'!$I$6:$J$6</definedName>
    <definedName name="BExO85HMYXZJ7SONWBKKIAXMCI3C">'[7]Exploration Cost centres NGS'!$F$10:$G$10</definedName>
    <definedName name="BExO863922O4PBGQMUNEQKGN3K96">'[7]Exploration Cost centres NGS'!$F$7:$G$7</definedName>
    <definedName name="BExO89ZIOXN0HOKHY24F7HDZ87UT">'[7]Exploration Cost centres NGS'!$F$11:$G$11</definedName>
    <definedName name="BExO8CDTBCABLEUD6PE2UM2EZ6C4">'[7]Exploration Cost centres NGS'!$I$6:$J$6</definedName>
    <definedName name="BExO8IZ05ZG0XVOL3W41KBQE176A">'[7]Exploration Cost centres NGS'!$I$11:$J$11</definedName>
    <definedName name="BExO8UTAGQWDBQZEEF4HUNMLQCVU">'[7]Exploration Cost centres NGS'!$H$2:$I$2</definedName>
    <definedName name="BExO937E20IHMGQOZMECL3VZC7OX">'[7]Exploration Cost centres NGS'!$F$15</definedName>
    <definedName name="BExO94UTJKQQ7TJTTJRTSR70YVJC">'[7]Exploration Cost centres NGS'!$F$9:$G$9</definedName>
    <definedName name="BExO9J3A438976RXIUX5U9SU5T55">'[7]Exploration Cost centres NGS'!$K$2</definedName>
    <definedName name="BExO9RS5RXFJ1911HL3CCK6M74EP">'[7]Exploration Cost centres NGS'!$I$8:$J$8</definedName>
    <definedName name="BExO9SDRI1M6KMHXSG3AE5L0F2U3">'[7]Exploration Cost centres NGS'!$F$15</definedName>
    <definedName name="BExO9V2U2YXAY904GYYGU6TD8Y7M">'[7]Exploration Cost centres NGS'!$F$7:$G$7</definedName>
    <definedName name="BExOAQ3GKCT7YZW1EMVU3EILSZL2">'[7]Exploration Cost centres NGS'!$F$9:$G$9</definedName>
    <definedName name="BExOB9KT2THGV4SPLDVFTFXS4B14">'[7]Exploration Cost centres NGS'!$F$8:$G$8</definedName>
    <definedName name="BExOBEZ0IE2WBEYY3D3CMRI72N1K">'[7]Exploration Cost centres NGS'!$F$15</definedName>
    <definedName name="BExOBIPU8760ITY0C8N27XZ3KWEF">'[7]Exploration Cost centres NGS'!$G$2</definedName>
    <definedName name="BExOBM0I5L0MZ1G4H9MGMD87SBMZ">'[7]Exploration Cost centres NGS'!$F$7:$G$7</definedName>
    <definedName name="BExOBOUXMP88KJY2BX2JLUJH5N0K">'[7]Exploration Cost centres NGS'!$F$6:$G$6</definedName>
    <definedName name="BExOBP0FKQ4SVR59FB48UNLKCOR6">'[7]Exploration Cost centres NGS'!$E$1</definedName>
    <definedName name="BExOBYAVUCQ0IGM0Y6A75QHP0Q1A">'[7]Exploration Cost centres NGS'!$F$9:$G$9</definedName>
    <definedName name="BExOC3UEHB1CZNINSQHZANWJYKR8">'[7]Exploration Cost centres NGS'!$I$9:$J$9</definedName>
    <definedName name="BExOCBSF3XGO9YJ23LX2H78VOUR7">'[7]Exploration Cost centres NGS'!$G$2</definedName>
    <definedName name="BExOCKXFMOW6WPFEVX1I7R7FNDSS">'[7]Exploration Cost centres NGS'!$I$9:$J$9</definedName>
    <definedName name="BExOCYEXOB95DH5NOB0M5NOYX398">'[7]Exploration Cost centres NGS'!$F$6:$G$6</definedName>
    <definedName name="BExOD4ERMDMFD8X1016N4EXOUR0S">'[7]Exploration Cost centres NGS'!$F$8:$G$8</definedName>
    <definedName name="BExOD55RS7BQUHRQ6H3USVGKR0P7">'[7]Exploration Cost centres NGS'!$H$2:$I$2</definedName>
    <definedName name="BExODEWDDEABM4ZY3XREJIBZ8IVP">'[7]Exploration Cost centres NGS'!$G$2</definedName>
    <definedName name="BExODNLAA1L7WQ9ZQX6A1ZOXK9VR">'[7]Exploration Cost centres NGS'!$I$7:$J$7</definedName>
    <definedName name="BExODZFEIWV26E8RFU7XQYX1J458">'[7]Exploration Cost centres NGS'!$F$11:$G$11</definedName>
    <definedName name="BExOEBKG55EROA2VL360A06LKASE">'[7]Exploration Cost centres NGS'!$F$11:$G$11</definedName>
    <definedName name="BExOERG5LWXYYEN1DY1H2FWRJS9T">'[7]Exploration Cost centres NGS'!$I$6:$J$6</definedName>
    <definedName name="BExOEV1S6JJVO5PP4BZ20SNGZR7D">'[7]Exploration Cost centres NGS'!$I$7:$J$7</definedName>
    <definedName name="BExOFEDNCYI2TPTMQ8SJN3AW4YMF">'[7]Exploration Cost centres NGS'!$F$9:$G$9</definedName>
    <definedName name="BExOFVLXVD6RVHSQO8KZOOACSV24">'[7]Exploration Cost centres NGS'!$C$15:$D$29</definedName>
    <definedName name="BExOG2SW3XOGP9VAPQ3THV3VWV12">'[7]Exploration Cost centres NGS'!$F$8:$G$8</definedName>
    <definedName name="BExOG45J81K4OPA40KW5VQU54KY3">'[7]Exploration Cost centres NGS'!$F$7:$G$7</definedName>
    <definedName name="BExOGFE2SCL8HHT4DFAXKLUTJZOG">'[7]Exploration Cost centres NGS'!$F$11:$G$11</definedName>
    <definedName name="BExOGT6D0LJ3C22RDW8COECKB1J5">'[7]Exploration Cost centres NGS'!$F$9:$G$9</definedName>
    <definedName name="BExOGTMI1HT31M1RGWVRAVHAK7DE">'[7]Exploration Cost centres NGS'!$F$7:$G$7</definedName>
    <definedName name="BExOGXO9JE5XSE9GC3I6O21UEKAO">'[7]Exploration Cost centres NGS'!$H$2:$I$2</definedName>
    <definedName name="BExOH9ICZ13C1LAW8OTYTR9S7ZP3">'[7]Exploration Cost centres NGS'!$F$9:$G$9</definedName>
    <definedName name="BExOHL75H3OT4WAKKPUXIVXWFVDS">'[7]Exploration Cost centres NGS'!$F$15</definedName>
    <definedName name="BExOHLHXXJL6363CC082M9M5VVXQ">'[7]Exploration Cost centres NGS'!$F$15:$J$123</definedName>
    <definedName name="BExOHNAO5UDXSO73BK2ARHWKS90Y">'[7]Exploration Cost centres NGS'!$F$6:$G$6</definedName>
    <definedName name="BExOHR1G1I9A9CI1HG94EWBLWNM2">'[7]Exploration Cost centres NGS'!$I$6:$J$6</definedName>
    <definedName name="BExOHTQPP8LQ98L6PYUI6QW08YID">'[7]Exploration Cost centres NGS'!$F$11:$G$11</definedName>
    <definedName name="BExOHX6Q6NJI793PGX59O5EKTP4G">'[7]Exploration Cost centres NGS'!$I$7:$J$7</definedName>
    <definedName name="BExOI5VMTHH7Y8MQQ1N635CHYI0P">'[7]Exploration Cost centres NGS'!$F$9:$G$9</definedName>
    <definedName name="BExOIEVCP4Y6VDS23AK84MCYYHRT">'[7]Exploration Cost centres NGS'!$F$7:$G$7</definedName>
    <definedName name="BExOIHPQIXR0NDR5WD01BZKPKEO3">'[7]Exploration Cost centres NGS'!$F$7:$G$7</definedName>
    <definedName name="BExOIM7L0Z3LSII9P7ZTV4KJ8RMA">'[7]Exploration Cost centres NGS'!$G$2</definedName>
    <definedName name="BExOIWJVMJ6MG6JC4SPD1L00OHU1">'[7]Exploration Cost centres NGS'!$F$10:$G$10</definedName>
    <definedName name="BExOIYCN8Z4JK3OOG86KYUCV0ME8">'[7]Exploration Cost centres NGS'!$I$9:$J$9</definedName>
    <definedName name="BExOJ3AKZ9BCBZT3KD8WMSLK6MN2">'[7]Exploration Cost centres NGS'!$F$8:$G$8</definedName>
    <definedName name="BExOJ7XQK71I4YZDD29AKOOWZ47E">'[7]Exploration Cost centres NGS'!$H$2:$I$2</definedName>
    <definedName name="BExOJM0W6XGSW5MXPTTX0GNF6SFT">'[7]Exploration Cost centres NGS'!$I$6:$J$6</definedName>
    <definedName name="BExOJXEUJJ9SYRJXKYYV2NCCDT2R">'[7]Exploration Cost centres NGS'!$E$1</definedName>
    <definedName name="BExOK0EQYM9JUMAGWOUN7QDH7VMZ">'[7]Exploration Cost centres NGS'!$E$1</definedName>
    <definedName name="BExOK4WM9O7QNG6O57FOASI5QSN1">'[7]Exploration Cost centres NGS'!$F$8:$G$8</definedName>
    <definedName name="BExOKKHOPWUVRJGQJ5ONR2U40JX8">'[7]Exploration Cost centres NGS'!$I$7:$J$7</definedName>
    <definedName name="BExOKTXMJP351VXKH8VT6SXUNIMF">'[7]Exploration Cost centres NGS'!$F$7:$G$7</definedName>
    <definedName name="BExOKU8GMLOCNVORDE329819XN67">'[7]Exploration Cost centres NGS'!$I$10:$J$10</definedName>
    <definedName name="BExOL0Z3Z7IAMHPB91EO2MF49U57">'[7]Exploration Cost centres NGS'!$F$8:$G$8</definedName>
    <definedName name="BExOL7KH12VAR0LG741SIOJTLWFD">'[7]Exploration Cost centres NGS'!$F$9:$G$9</definedName>
    <definedName name="BExOLICXFHJLILCJVFMJE5MGGWKR">'[7]Exploration Cost centres NGS'!$C$15:$D$29</definedName>
    <definedName name="BExOLOI0WJS3QC12I3ISL0D9AWOF">'[7]Exploration Cost centres NGS'!$I$10:$J$10</definedName>
    <definedName name="BExOLYZNG5RBD0BTS1OEZJNU92Q5">'[7]Exploration Cost centres NGS'!$F$9:$G$9</definedName>
    <definedName name="BExOM3HIJ3UZPOKJI68KPBJAHPDC">'[7]Exploration Cost centres NGS'!$F$7:$G$7</definedName>
    <definedName name="BExOMKPURE33YQ3K1JG9NVQD4W49">'[7]Exploration Cost centres NGS'!$I$8:$J$8</definedName>
    <definedName name="BExOMP7NGCLUNFK50QD2LPKRG078">'[7]Exploration Cost centres NGS'!$I$8:$J$8</definedName>
    <definedName name="BExOMU0A6XMY48SZRYL4WQZD13BI">'[7]Exploration Cost centres NGS'!$E$1</definedName>
    <definedName name="BExOMVT0HSNC59DJP4CLISASGHKL">'[7]Exploration Cost centres NGS'!$I$7:$J$7</definedName>
    <definedName name="BExON0AX35F2SI0UCVMGWGVIUNI3">'[7]Exploration Cost centres NGS'!$I$11:$J$11</definedName>
    <definedName name="BExON41U4296DV3DPG6I5EF3OEYF">'[7]Exploration Cost centres NGS'!$F$9:$G$9</definedName>
    <definedName name="BExONB3A7CO4YD8RB41PHC93BQ9M">'[7]Exploration Cost centres NGS'!$F$15:$J$123</definedName>
    <definedName name="BExONFQH6UUXF8V0GI4BRIST9RFO">'[7]Exploration Cost centres NGS'!$F$6:$G$6</definedName>
    <definedName name="BExONIL31DZWU7IFVN3VV0XTXJA1">'[7]Exploration Cost centres NGS'!$F$11:$G$11</definedName>
    <definedName name="BExONJ1BU17R0F5A2UP1UGJBOGKS">'[7]Exploration Cost centres NGS'!$F$9:$G$9</definedName>
    <definedName name="BExONNZ9VMHVX3J6NLNJY7KZA61O">'[7]Exploration Cost centres NGS'!$I$6:$J$6</definedName>
    <definedName name="BExONRQ1BAA4F3TXP2MYQ4YCZ09S">'[7]Exploration Cost centres NGS'!$I$7:$J$7</definedName>
    <definedName name="BExOO1WWIZSGB0YTGKESB45TSVMZ">'[7]Exploration Cost centres NGS'!$F$11:$G$11</definedName>
    <definedName name="BExOO4B8FPAFYPHCTYTX37P1TQM5">'[7]Exploration Cost centres NGS'!$I$11:$J$11</definedName>
    <definedName name="BExOOIULUDOJRMYABWV5CCL906X6">'[7]Exploration Cost centres NGS'!$I$9:$J$9</definedName>
    <definedName name="BExOOTN0KTXJCL7E476XBN1CJ553">'[7]Exploration Cost centres NGS'!$G$2</definedName>
    <definedName name="BExOP9DEBV5W5P4Q25J3XCJBP5S9">'[7]Exploration Cost centres NGS'!$I$11:$J$11</definedName>
    <definedName name="BExOPFNYRBL0BFM23LZBJTADNOE4">'[7]Exploration Cost centres NGS'!$F$15</definedName>
    <definedName name="BExOPINVFSIZMCVT9YGT2AODVCX3">'[7]Exploration Cost centres NGS'!$F$6:$G$6</definedName>
    <definedName name="BExOQ1JN4SAC44RTMZIGHSW023WA">'[7]Exploration Cost centres NGS'!$I$6:$J$6</definedName>
    <definedName name="BExOQ256YMF115DJL3KBPNKABJ90">'[7]Exploration Cost centres NGS'!$F$6:$G$6</definedName>
    <definedName name="BExQ19DEUOLC11IW32E2AMVZLFF1">'[7]Exploration Cost centres NGS'!$H$2:$I$2</definedName>
    <definedName name="BExQ1FD6KISGYU1JWEQ4G243ZPVD">'[7]Exploration Cost centres NGS'!$G$2:$H$2</definedName>
    <definedName name="BExQ29C73XR33S3668YYSYZAIHTG">'[7]Exploration Cost centres NGS'!$I$11:$J$11</definedName>
    <definedName name="BExQ2FS228IUDUP2023RA1D4AO4C">'[7]Exploration Cost centres NGS'!$F$11:$G$11</definedName>
    <definedName name="BExQ2L0XYWLY9VPZWXYYFRIRQRJ1">'[7]Exploration Cost centres NGS'!$F$7:$G$7</definedName>
    <definedName name="BExQ2M841F5Z1BQYR8DG5FKK0LIU">'[7]Exploration Cost centres NGS'!$E$1</definedName>
    <definedName name="BExQ300G8I8TK45A0MVHV15422EU">'[7]Exploration Cost centres NGS'!$E$1</definedName>
    <definedName name="BExQ39R28MXSG2SEV956F0KZ20AN">'[7]Exploration Cost centres NGS'!$E$1</definedName>
    <definedName name="BExQ3D1P3M5Z3HLMEZ17E0BLEE4U">'[7]Exploration Cost centres NGS'!$C$15:$D$29</definedName>
    <definedName name="BExQ3O4W7QF8BOXTUT4IOGF6YKUD">'[7]Exploration Cost centres NGS'!$G$2</definedName>
    <definedName name="BExQ3PXOWSN8561ZR8IEY8ZASI3B">'[7]Exploration Cost centres NGS'!$I$8:$J$8</definedName>
    <definedName name="BExQ3TZF04IPY0B0UG9CQQ5736UA">'[7]Exploration Cost centres NGS'!$F$8:$G$8</definedName>
    <definedName name="BExQ42IU9MNDYLODP41DL6YTZMAR">'[7]Exploration Cost centres NGS'!$C$15:$D$29</definedName>
    <definedName name="BExQ452HF7N1HYPXJXQ8WD6SOWUV">'[7]Exploration Cost centres NGS'!$I$6:$J$6</definedName>
    <definedName name="BExQ499KBJ5W7A1G293A0K14EVQB">'[7]Exploration Cost centres NGS'!$I$10:$J$10</definedName>
    <definedName name="BExQ4BTBSHPHVEDRCXC2ROW8PLFC">'[7]Exploration Cost centres NGS'!$F$6:$G$6</definedName>
    <definedName name="BExQ4DGKF54SRKQUTUT4B1CZSS62">'[7]Exploration Cost centres NGS'!$I$7:$J$7</definedName>
    <definedName name="BExQ4T74LQ5PYTV1MUQUW75A4BDY">'[7]Exploration Cost centres NGS'!$I$11:$J$11</definedName>
    <definedName name="BExQ4XJHD7EJCNH7S1MJDZJ2MNWG">'[7]Exploration Cost centres NGS'!$I$10:$J$10</definedName>
    <definedName name="BExQ5039ZCEWBUJHU682G4S89J03">'[7]Exploration Cost centres NGS'!$F$6:$G$6</definedName>
    <definedName name="BExQ56Z9W6YHZHRXOFFI8EFA7CDI">'[7]Exploration Cost centres NGS'!$H$2:$I$2</definedName>
    <definedName name="BExQ5KX3Z668H1KUCKZ9J24HUQ1F">'[7]Exploration Cost centres NGS'!$F$7:$G$7</definedName>
    <definedName name="BExQ5SPMSOCJYLAY20NB5A6O32RE">'[7]Exploration Cost centres NGS'!$F$15</definedName>
    <definedName name="BExQ5UICMGTMK790KTLK49MAGXRC">'[7]Exploration Cost centres NGS'!$F$6:$G$6</definedName>
    <definedName name="BExQ5VEQEIJO7YY80OJTA3XRQYJ9">'[7]Exploration Cost centres NGS'!$E$1</definedName>
    <definedName name="BExQ5YUUK9FD0QGTY4WD0W90O7OL">'[7]Exploration Cost centres NGS'!$F$8:$G$8</definedName>
    <definedName name="BExQ63793YQ9BH7JLCNRIATIGTRG">'[7]Exploration Cost centres NGS'!$E$1</definedName>
    <definedName name="BExQ65G34KGCVW24EARKZE620E0F">'[7]Exploration Cost centres NGS'!$F$6:$G$6</definedName>
    <definedName name="BExQ6CN1EF2UPZ57ZYMGK8TUJQSS">'[7]Exploration Cost centres NGS'!$I$9:$J$9</definedName>
    <definedName name="BExQ6M2YXJ8AMRJF3QGHC40ADAHZ">'[7]Exploration Cost centres NGS'!$I$6:$J$6</definedName>
    <definedName name="BExQ6M8B0X44N9TV56ATUVHGDI00">'[7]Exploration Cost centres NGS'!$F$15:$J$123</definedName>
    <definedName name="BExQ6POH065GV0I74XXVD0VUPBJW">'[7]Exploration Cost centres NGS'!$F$10:$G$10</definedName>
    <definedName name="BExQ6WV9KPSMXPPLGZ3KK4WNYTHU">'[7]Exploration Cost centres NGS'!$G$2</definedName>
    <definedName name="BExQ783XTMM2A9I3UKCFWJH1PP2N">'[7]Exploration Cost centres NGS'!$F$11:$G$11</definedName>
    <definedName name="BExQ79LX01ZPQB8EGD1ZHR2VK2H3">'[7]Exploration Cost centres NGS'!$I$10:$J$10</definedName>
    <definedName name="BExQ7B3V9MGDK2OIJ61XXFBFLJFZ">'[7]Exploration Cost centres NGS'!$F$7:$G$7</definedName>
    <definedName name="BExQ7CB046NVPF9ZXDGA7OXOLSLX">'[7]Exploration Cost centres NGS'!$F$6:$G$6</definedName>
    <definedName name="BExQ7IWDCGGOO1HTJ97YGO1CK3R9">'[7]Exploration Cost centres NGS'!$I$7:$J$7</definedName>
    <definedName name="BExQ7JNFIEGS2HKNBALH3Q2N5G7Z">'[7]Exploration Cost centres NGS'!$I$8:$J$8</definedName>
    <definedName name="BExQ7MY3U2Z1IZ71U5LJUD00VVB4">'[7]Exploration Cost centres NGS'!$C$15:$D$29</definedName>
    <definedName name="BExQ7XL2Q1GVUFL1F9KK0K0EXMWG">'[7]Exploration Cost centres NGS'!$E$1</definedName>
    <definedName name="BExQ8469L3ZRZ3KYZPYMSJIDL7Y5">'[7]Exploration Cost centres NGS'!$I$6:$J$6</definedName>
    <definedName name="BExQ84MJB94HL3BWRN50M4NCB6Z0">'[7]Exploration Cost centres NGS'!$F$15</definedName>
    <definedName name="BExQ8583ZE00NW7T9OF11OT9IA14">'[7]Exploration Cost centres NGS'!$F$15</definedName>
    <definedName name="BExQ8A0RPE3IMIFIZLUE7KD2N21W">'[7]Exploration Cost centres NGS'!$E$1</definedName>
    <definedName name="BExQ8ABK6H1ADV2R2OYT8NFFYG2N">'[7]Exploration Cost centres NGS'!$H$2:$I$2</definedName>
    <definedName name="BExQ8DM90XJ6GCJIK9LC5O82I2TJ">'[7]Exploration Cost centres NGS'!$F$15</definedName>
    <definedName name="BExQ8G0K46ZORA0QVQTDI7Z8LXGF">'[7]Exploration Cost centres NGS'!$I$7:$J$7</definedName>
    <definedName name="BExQ8O3WEU8HNTTGKTW5T0QSKCLP">'[7]Exploration Cost centres NGS'!$C$31</definedName>
    <definedName name="BExQ8ZCEDBOBJA3D9LDP5TU2WYGR">'[7]Exploration Cost centres NGS'!$H$2:$I$2</definedName>
    <definedName name="BExQ94LAW6MAQBWY25WTBFV5PPZJ">'[7]Exploration Cost centres NGS'!$H$2:$I$2</definedName>
    <definedName name="BExQ97QIPOSSRK978N8P234Y1XA4">'[7]Exploration Cost centres NGS'!$G$2</definedName>
    <definedName name="BExQ9BMR8FOORDCF75K1OF3FUHRQ">'[7]Exploration Cost centres NGS'!$F$15:$J$95</definedName>
    <definedName name="BExQ9E6FBAXTHGF3RXANFIA77GXP">'[7]Exploration Cost centres NGS'!$G$2</definedName>
    <definedName name="BExQ9F2YH4UUCCMQITJ475B3S3NP">'[7]Exploration Cost centres NGS'!$J$2:$K$2</definedName>
    <definedName name="BExQ9KX9734KIAK7IMRLHCPYDHO2">'[7]Exploration Cost centres NGS'!$F$10:$G$10</definedName>
    <definedName name="BExQ9L81FF4I7816VTPFBDWVU4CW">'[7]Exploration Cost centres NGS'!$I$9:$J$9</definedName>
    <definedName name="BExQ9M4E2ACZOWWWP1JJIQO8AHUM">'[7]Exploration Cost centres NGS'!$E$1</definedName>
    <definedName name="BExQ9UTANMJCK7LJ4OQMD6F2Q01L">'[7]Exploration Cost centres NGS'!$H$2:$I$2</definedName>
    <definedName name="BExQA324HSCK40ENJUT9CS9EC71B">'[7]Exploration Cost centres NGS'!$C$15:$D$29</definedName>
    <definedName name="BExQA55GY0STSNBWQCWN8E31ZXCS">'[7]Exploration Cost centres NGS'!$I$6:$J$6</definedName>
    <definedName name="BExQA9HZIN9XEMHEEVHT99UU9Z82">'[7]Exploration Cost centres NGS'!$I$10:$J$10</definedName>
    <definedName name="BExQAELFYH92K8CJL155181UDORO">'[7]Exploration Cost centres NGS'!$H$2:$I$2</definedName>
    <definedName name="BExQAG8PP8R5NJKNQD1U4QOSD6X5">'[7]Exploration Cost centres NGS'!$F$15</definedName>
    <definedName name="BExQBDICMZTSA1X73TMHNO4JSFLN">'[7]Exploration Cost centres NGS'!$K$2</definedName>
    <definedName name="BExQBEER6CRCRPSSL61S0OMH57ZA">'[7]Exploration Cost centres NGS'!$F$11:$G$11</definedName>
    <definedName name="BExQBIGGY5TXI2FJVVZSLZ0LTZYH">'[7]Exploration Cost centres NGS'!$I$10:$J$10</definedName>
    <definedName name="BExQBM1RUSIQ85LLMM2159BYDPIP">'[7]Exploration Cost centres NGS'!$I$7:$J$7</definedName>
    <definedName name="BExQBPSOZ47V81YAEURP0NQJNTJH">'[7]Exploration Cost centres NGS'!$F$9:$G$9</definedName>
    <definedName name="BExQC5TWT21CGBKD0IHAXTIN2QB8">'[7]Exploration Cost centres NGS'!$I$8:$J$8</definedName>
    <definedName name="BExQC94JL9F5GW4S8DQCAF4WB2DA">'[7]Exploration Cost centres NGS'!$F$10:$G$10</definedName>
    <definedName name="BExQCKTD8AT0824LGWREXM1B5D1X">'[7]Exploration Cost centres NGS'!$I$7:$J$7</definedName>
    <definedName name="BExQCPB7YVD7EPHD6AY8PC8EE5CY">'[7]Exploration Cost centres NGS'!$E$1:$E$1</definedName>
    <definedName name="BExQD571YWOXKR2SX85K5MKQ0AO2">'[7]Exploration Cost centres NGS'!$F$7:$G$7</definedName>
    <definedName name="BExQDB6VCHN8PNX8EA6JNIEQ2JC2">'[7]Exploration Cost centres NGS'!$G$2</definedName>
    <definedName name="BExQDE1B6U2Q9B73KBENABP71YM1">'[7]Exploration Cost centres NGS'!$E$1</definedName>
    <definedName name="BExQDGQCN7ZW41QDUHOBJUGQAX40">'[7]Exploration Cost centres NGS'!$I$8:$J$8</definedName>
    <definedName name="BExQEC7BRIJ30PTU3UPFOIP2HPE3">'[7]Exploration Cost centres NGS'!$F$11:$G$11</definedName>
    <definedName name="BExQEMUA4HEFM4OVO8M8MA8PIAW1">'[7]Exploration Cost centres NGS'!$C$15:$D$29</definedName>
    <definedName name="BExQEQ4XZQFIKUXNU9H7WE7AMZ1U">'[7]Exploration Cost centres NGS'!$I$6:$J$6</definedName>
    <definedName name="BExQF1OEB07CRAP6ALNNMJNJ3P2D">'[7]Exploration Cost centres NGS'!$F$8:$G$8</definedName>
    <definedName name="BExQF9X2AQPFJZTCHTU5PTTR0JAH">'[7]Exploration Cost centres NGS'!$F$10:$G$10</definedName>
    <definedName name="BExQFC0M9KKFMQKPLPEO2RQDB7MM">'[7]Exploration Cost centres NGS'!$I$10:$J$10</definedName>
    <definedName name="BExQFEEV7627R8TYZCM28C6V6WHE">'[7]Exploration Cost centres NGS'!$F$15</definedName>
    <definedName name="BExQFEK8NUD04X2OBRA275ADPSDL">'[7]Exploration Cost centres NGS'!$C$15:$D$29</definedName>
    <definedName name="BExQFGYIWDR4W0YF7XR6E4EWWJ02">'[7]Exploration Cost centres NGS'!$I$6:$J$6</definedName>
    <definedName name="BExQFPNFKA36IAPS22LAUMBDI4KE">'[7]Exploration Cost centres NGS'!$I$10:$J$10</definedName>
    <definedName name="BExQFPSWEMA8WBUZ4WK20LR13VSU">'[7]Exploration Cost centres NGS'!$K$2</definedName>
    <definedName name="BExQFVSPOSCCPF1TLJPIWYWYB8A9">'[7]Exploration Cost centres NGS'!$F$10:$G$10</definedName>
    <definedName name="BExQFWJQXNQAW6LUMOEDS6KMJMYL">'[7]Exploration Cost centres NGS'!$F$7:$G$7</definedName>
    <definedName name="BExQG8TYRD2G42UA5ZPCRLNKUDMX">'[7]Exploration Cost centres NGS'!$F$7:$G$7</definedName>
    <definedName name="BExQGO48J9MPCDQ96RBB9UN9AIGT">'[7]Exploration Cost centres NGS'!$F$9:$G$9</definedName>
    <definedName name="BExQGSBB6MJWDW7AYWA0MSFTXKRR">'[7]Exploration Cost centres NGS'!$I$8:$J$8</definedName>
    <definedName name="BExQH0UURAJ13AVO5UI04HSRGVYW">'[7]Exploration Cost centres NGS'!$F$6:$G$6</definedName>
    <definedName name="BExQH6ZZY0NR8SE48PSI9D0CU1TC">'[7]Exploration Cost centres NGS'!$I$10:$J$10</definedName>
    <definedName name="BExQH9P2MCXAJOVEO4GFQT6MNW22">'[7]Exploration Cost centres NGS'!$F$15</definedName>
    <definedName name="BExQHCZSBYUY8OKKJXFYWKBBM6AH">'[7]Exploration Cost centres NGS'!$I$11:$J$11</definedName>
    <definedName name="BExQHPKXZ1K33V2F90NZIQRZYIAW">'[7]Exploration Cost centres NGS'!$I$11:$J$11</definedName>
    <definedName name="BExQHVF9KD06AG2RXUQJ9X4PVGX4">'[7]Exploration Cost centres NGS'!$I$7:$J$7</definedName>
    <definedName name="BExQHZBHVN2L4HC7ACTR73T5OCV0">'[7]Exploration Cost centres NGS'!$G$2</definedName>
    <definedName name="BExQI85V9TNLDJT5LTRZS10Y26SG">'[7]Exploration Cost centres NGS'!$G$2</definedName>
    <definedName name="BExQIAPKHVEV8CU1L3TTHJW67FJ5">'[7]Exploration Cost centres NGS'!$F$6:$G$6</definedName>
    <definedName name="BExQIBB4I3Z6AUU0HYV1DHRS13M4">'[7]Exploration Cost centres NGS'!$I$9:$J$9</definedName>
    <definedName name="BExQIBWPAXU7HJZLKGJZY3EB7MIS">'[7]Exploration Cost centres NGS'!$I$11:$J$11</definedName>
    <definedName name="BExQIS8O6R36CI01XRY9ISM99TW9">'[7]Exploration Cost centres NGS'!$F$15</definedName>
    <definedName name="BExQIVJB9MJ25NDUHTCVMSODJY2C">'[7]Exploration Cost centres NGS'!$F$11:$G$11</definedName>
    <definedName name="BExQJBF7LAX128WR7VTMJC88ZLPG">'[7]Exploration Cost centres NGS'!$I$10:$J$10</definedName>
    <definedName name="BExQJEVCKX6KZHNCLYXY7D0MX5KN">'[7]Exploration Cost centres NGS'!$G$2</definedName>
    <definedName name="BExQJJYSDX8B0J1QGF2HL071KKA3">'[7]Exploration Cost centres NGS'!$F$7:$G$7</definedName>
    <definedName name="BExQK1HV6SQQ7CP8H8IUKI9TYXTD">'[7]Exploration Cost centres NGS'!$I$7:$J$7</definedName>
    <definedName name="BExQK3LE5CSBW1E4H4KHW548FL2R">'[7]Exploration Cost centres NGS'!$I$7:$J$7</definedName>
    <definedName name="BExQKG6LD6PLNDGNGO9DJXY865BR">'[7]Exploration Cost centres NGS'!$I$10:$J$10</definedName>
    <definedName name="BExQLE1TOW3A287TQB0AVWENT8O1">'[7]Exploration Cost centres NGS'!$I$6:$J$6</definedName>
    <definedName name="BExRYOYB4A3E5F6MTROY69LR0PMG">'[7]Exploration Cost centres NGS'!$F$7:$G$7</definedName>
    <definedName name="BExRYZLA9EW71H4SXQR525S72LLP">'[7]Exploration Cost centres NGS'!$I$9:$J$9</definedName>
    <definedName name="BExRZ66M8G9FQ0VFP077QSZBSOA5">'[7]Exploration Cost centres NGS'!$F$6:$G$6</definedName>
    <definedName name="BExRZ8FMQQL46I8AQWU17LRNZD5T">'[7]Exploration Cost centres NGS'!$I$6:$J$6</definedName>
    <definedName name="BExRZIRRIXRUMZ5GOO95S7460BMP">'[7]Exploration Cost centres NGS'!$K$2</definedName>
    <definedName name="BExRZK9RAHMM0ZLTNSK7A4LDC42D">'[7]Exploration Cost centres NGS'!$I$7:$J$7</definedName>
    <definedName name="BExRZOGSR69INI6GAEPHDWSNK5Q4">'[7]Exploration Cost centres NGS'!$F$6:$G$6</definedName>
    <definedName name="BExS0ASQBKRTPDWFK0KUDFOS9LE5">'[7]Exploration Cost centres NGS'!$F$8:$G$8</definedName>
    <definedName name="BExS0GHQUF6YT0RU3TKDEO8CSJYB">'[7]Exploration Cost centres NGS'!$K$2</definedName>
    <definedName name="BExS0K8IHC45I78DMZBOJ1P13KQA">'[7]Exploration Cost centres NGS'!$F$7:$G$7</definedName>
    <definedName name="BExS152B2LFCRAUHSLI5T6QRNII0">'[7]Exploration Cost centres NGS'!$I$7:$J$7</definedName>
    <definedName name="BExS15IJV0WW662NXQUVT3FGP4ST">'[7]Exploration Cost centres NGS'!$F$7:$G$7</definedName>
    <definedName name="BExS194110MR25BYJI3CJ2EGZ8XT">'[7]Exploration Cost centres NGS'!$F$9:$G$9</definedName>
    <definedName name="BExS1BNVGNSGD4EP90QL8WXYWZ66">'[7]Exploration Cost centres NGS'!$F$2:$G$2</definedName>
    <definedName name="BExS1UE39N6NCND7MAARSBWXS6HU">'[7]Exploration Cost centres NGS'!$G$2</definedName>
    <definedName name="BExS226HTWL5WVC76MP5A1IBI8WD">'[7]Exploration Cost centres NGS'!$F$6:$G$6</definedName>
    <definedName name="BExS26OI2QNNAH2WMDD95Z400048">'[7]Exploration Cost centres NGS'!$F$10:$G$10</definedName>
    <definedName name="BExS2DF6B4ZUF3VZLI4G6LJ3BF38">'[7]Exploration Cost centres NGS'!$F$8:$G$8</definedName>
    <definedName name="BExS2QB5FS5LYTFYO4BROTWG3OV5">'[7]Exploration Cost centres NGS'!$H$2:$I$2</definedName>
    <definedName name="BExS2TLU1HONYV6S3ZD9T12D7CIG">'[7]Exploration Cost centres NGS'!$F$10:$G$10</definedName>
    <definedName name="BExS318UV9I2FXPQQWUKKX00QLPJ">'[7]Exploration Cost centres NGS'!$J$2:$K$2</definedName>
    <definedName name="BExS3LBS0SMTHALVM4NRI1BAV1NP">'[7]Exploration Cost centres NGS'!$F$8:$G$8</definedName>
    <definedName name="BExS3MTQ75VBXDGEBURP6YT8RROE">'[7]Exploration Cost centres NGS'!$I$10:$J$10</definedName>
    <definedName name="BExS3OMGYO0DFN5186UFKEXZ2RX3">'[7]Exploration Cost centres NGS'!$I$11:$J$11</definedName>
    <definedName name="BExS3SDERJ27OER67TIGOVZU13A2">'[7]Exploration Cost centres NGS'!$F$7:$G$7</definedName>
    <definedName name="BExS46R5WDNU5KL04FKY5LHJUCB8">'[7]Exploration Cost centres NGS'!$I$6:$J$6</definedName>
    <definedName name="BExS4ASWKM93XA275AXHYP8AG6SU">'[7]Exploration Cost centres NGS'!$I$10:$J$10</definedName>
    <definedName name="BExS4JN3Y6SVBKILQK0R9HS45Y52">'[7]Exploration Cost centres NGS'!$F$8:$G$8</definedName>
    <definedName name="BExS4P6S41O6Z6BED77U3GD9PNH1">'[7]Exploration Cost centres NGS'!$I$8:$J$8</definedName>
    <definedName name="BExS51H0N51UT0FZOPZRCF1GU063">'[7]Exploration Cost centres NGS'!$I$9:$J$9</definedName>
    <definedName name="BExS54X72TJFC41FJK72MLRR2OO7">'[7]Exploration Cost centres NGS'!$I$11:$J$11</definedName>
    <definedName name="BExS59F0PA1V2ZC7S5TN6IT41SXP">'[7]Exploration Cost centres NGS'!$F$11:$G$11</definedName>
    <definedName name="BExS5B7Q0IA28IWAQ8FPJEO0002S">'[7]Exploration Cost centres NGS'!$F$8:$G$8</definedName>
    <definedName name="BExS5DRER9US6NXY9ATYT41KZII3">'[7]Exploration Cost centres NGS'!$F$15</definedName>
    <definedName name="BExS5L3TGB8JVW9ROYWTKYTUPW27">'[7]Exploration Cost centres NGS'!$F$7:$G$7</definedName>
    <definedName name="BExS6GKQ96EHVLYWNJDWXZXUZW90">'[7]Exploration Cost centres NGS'!$F$8:$G$8</definedName>
    <definedName name="BExS6ITKSZFRR01YD5B0F676SYN7">'[7]Exploration Cost centres NGS'!$E$1</definedName>
    <definedName name="BExS6N0LI574IAC89EFW6CLTCQ33">'[7]Exploration Cost centres NGS'!$I$10:$J$10</definedName>
    <definedName name="BExS6WRDBF3ST86ZOBBUL3GTCR11">'[7]Exploration Cost centres NGS'!$I$8:$J$8</definedName>
    <definedName name="BExS6XNRKR0C3MTA0LV5B60UB908">'[7]Exploration Cost centres NGS'!$F$6:$G$6</definedName>
    <definedName name="BExS7TKQYLRZGM93UY3ZJZJBQNFJ">'[7]Exploration Cost centres NGS'!$I$6:$J$6</definedName>
    <definedName name="BExS7Y2LNGVHSIBKC7C3R6X4LDR6">'[7]Exploration Cost centres NGS'!$I$11:$J$11</definedName>
    <definedName name="BExS81TE0EY44Y3W2M4Z4MGNP5OM">'[7]Exploration Cost centres NGS'!$C$15:$D$19</definedName>
    <definedName name="BExS81YPDZDVJJVS15HV2HDXAC3Y">'[7]Exploration Cost centres NGS'!$I$10:$J$10</definedName>
    <definedName name="BExS82PRVNUTEKQZS56YT2DVF6C2">'[7]Exploration Cost centres NGS'!$I$6:$J$6</definedName>
    <definedName name="BExS8BPG5A0GR5AO1U951NDGGR0L">'[7]Exploration Cost centres NGS'!$F$9:$G$9</definedName>
    <definedName name="BExS8GSUS17UY50TEM2AWF36BR9Z">'[7]Exploration Cost centres NGS'!$F$7:$G$7</definedName>
    <definedName name="BExS8HJRBVG0XI6PWA9KTMJZMQXK">'[7]Exploration Cost centres NGS'!$F$7:$G$7</definedName>
    <definedName name="BExS8R51C8RM2FS6V6IRTYO9GA4A">'[7]Exploration Cost centres NGS'!$F$15</definedName>
    <definedName name="BExS8WDX408F60MH1X9B9UZ2H4R7">'[7]Exploration Cost centres NGS'!$I$9:$J$9</definedName>
    <definedName name="BExS8Z2W2QEC3MH0BZIYLDFQNUIP">'[7]Exploration Cost centres NGS'!$F$11:$G$11</definedName>
    <definedName name="BExS92DKGRFFCIA9C0IXDOLO57EP">'[7]Exploration Cost centres NGS'!$I$9:$J$9</definedName>
    <definedName name="BExS98OB4321YCHLCQ022PXKTT2W">'[7]Exploration Cost centres NGS'!$I$10:$J$10</definedName>
    <definedName name="BExS9C9N8GFISC6HUERJ0EI06GB2">'[7]Exploration Cost centres NGS'!$I$6:$J$6</definedName>
    <definedName name="BExS9DX13CACP3J8JDREK30JB1SQ">'[7]Exploration Cost centres NGS'!$F$9:$G$9</definedName>
    <definedName name="BExS9FPRS2KRRCS33SE6WFNF5GYL">'[7]Exploration Cost centres NGS'!$F$9:$G$9</definedName>
    <definedName name="BExS9WI0A6PSEB8N9GPXF2Z7MWHM">'[7]Exploration Cost centres NGS'!$I$7:$J$7</definedName>
    <definedName name="BExSA5HP306TN9XJS0TU619DLRR7">'[7]Exploration Cost centres NGS'!$H$2:$I$2</definedName>
    <definedName name="BExSAAVWQOOIA6B3JHQVGP08HFEM">'[7]Exploration Cost centres NGS'!$I$8:$J$8</definedName>
    <definedName name="BExSAFJ3IICU2M7QPVE4ARYMXZKX">'[7]Exploration Cost centres NGS'!$F$7:$G$7</definedName>
    <definedName name="BExSAH6ID8OHX379UXVNGFO8J6KQ">'[7]Exploration Cost centres NGS'!$F$8:$G$8</definedName>
    <definedName name="BExSAQBHIXGQRNIRGCJMBXUPCZQA">'[7]Exploration Cost centres NGS'!$I$8:$J$8</definedName>
    <definedName name="BExSAUTCT4P7JP57NOR9MTX33QJZ">'[7]Exploration Cost centres NGS'!$F$10:$G$10</definedName>
    <definedName name="BExSAY9CA9TFXQ9M9FBJRGJO9T9E">'[7]Exploration Cost centres NGS'!$E$1</definedName>
    <definedName name="BExSB4JYKQ3MINI7RAYK5M8BLJDC">'[7]Exploration Cost centres NGS'!$I$10:$J$10</definedName>
    <definedName name="BExSBMOS41ZRLWYLOU29V6Y7YORR">'[7]Exploration Cost centres NGS'!$E$1</definedName>
    <definedName name="BExSBRBXXQMBU1TYDW1BXTEVEPRU">'[7]Exploration Cost centres NGS'!$F$8:$G$8</definedName>
    <definedName name="BExSC54998WTZ21DSL0R8UN0Y9JH">'[7]Exploration Cost centres NGS'!$F$8:$G$8</definedName>
    <definedName name="BExSC60N7WR9PJSNC9B7ORCX9NGY">'[7]Exploration Cost centres NGS'!$I$7:$J$7</definedName>
    <definedName name="BExSCE99EZTILTTCE4NJJF96OYYM">'[7]Exploration Cost centres NGS'!$G$2</definedName>
    <definedName name="BExSCHUQZ2HFEWS54X67DIS8OSXZ">'[7]Exploration Cost centres NGS'!$F$6:$G$6</definedName>
    <definedName name="BExSCOG41SKKG4GYU76WRWW1CTE6">'[7]Exploration Cost centres NGS'!$F$11:$G$11</definedName>
    <definedName name="BExSCVC9P86YVFMRKKUVRV29MZXZ">'[7]Exploration Cost centres NGS'!$G$2</definedName>
    <definedName name="BExSD233CH4MU9ZMGNRF97ZV7KWU">'[7]Exploration Cost centres NGS'!$F$8:$G$8</definedName>
    <definedName name="BExSD2U0F3BN6IN9N4R2DTTJG15H">'[7]Exploration Cost centres NGS'!$I$6:$J$6</definedName>
    <definedName name="BExSD6A6NY15YSMFH51ST6XJY429">'[7]Exploration Cost centres NGS'!$K$2</definedName>
    <definedName name="BExSD9VH6PF6RQ135VOEE08YXPAW">'[7]Exploration Cost centres NGS'!$F$11:$G$11</definedName>
    <definedName name="BExSDP5Y04WWMX2WWRITWOX8R5I9">'[7]Exploration Cost centres NGS'!$F$6:$G$6</definedName>
    <definedName name="BExSDSGM203BJTNS9MKCBX453HMD">'[7]Exploration Cost centres NGS'!$F$8:$G$8</definedName>
    <definedName name="BExSDT20XUFXTDM37M148AXAP7HN">'[7]Exploration Cost centres NGS'!$I$11:$J$11</definedName>
    <definedName name="BExSEEHK1VLWD7JBV9SVVVIKQZ3I">'[7]Exploration Cost centres NGS'!$F$8:$G$8</definedName>
    <definedName name="BExSEJKZLX37P3V33TRTFJ30BFRK">'[7]Exploration Cost centres NGS'!$F$9:$G$9</definedName>
    <definedName name="BExSEP9UVOAI6TMXKNK587PQ3328">'[7]Exploration Cost centres NGS'!$I$10:$J$10</definedName>
    <definedName name="BExSERZ34ETZF8OI93MYIVZX4RDV">'[7]Exploration Cost centres NGS'!$G$2:$H$2</definedName>
    <definedName name="BExSF07QFLZCO4P6K6QF05XG7PH1">'[7]Exploration Cost centres NGS'!$F$11:$G$11</definedName>
    <definedName name="BExSFELNPJYUZX393PKWKNNZYV1N">'[7]Exploration Cost centres NGS'!$I$9:$J$9</definedName>
    <definedName name="BExSFJ8ZAGQ63A4MVMZRQWLVRGQ5">'[7]Exploration Cost centres NGS'!$F$8:$G$8</definedName>
    <definedName name="BExSFKQRST2S9KXWWLCXYLKSF4G1">'[7]Exploration Cost centres NGS'!$F$8:$G$8</definedName>
    <definedName name="BExSFYDRRTAZVPXRWUF5PDQ97WFF">'[7]Exploration Cost centres NGS'!$G$2</definedName>
    <definedName name="BExSFZVPFTXA3F0IJ2NGH1GXX9R7">'[7]Exploration Cost centres NGS'!$I$9:$J$9</definedName>
    <definedName name="BExSG90Q4ZUU2IPGDYOM169NJV9S">'[7]Exploration Cost centres NGS'!$I$9:$J$9</definedName>
    <definedName name="BExSG9X3DU845PNXYJGGLBQY2UHG">'[7]Exploration Cost centres NGS'!$E$1</definedName>
    <definedName name="BExSGE45J27MDUUNXW7Z8Q33UAON">'[7]Exploration Cost centres NGS'!$F$9:$G$9</definedName>
    <definedName name="BExSGE9LY91Q0URHB4YAMX0UAMYI">'[7]Exploration Cost centres NGS'!$I$6:$J$6</definedName>
    <definedName name="BExSGLB2URTLBCKBB4Y885W925F2">'[7]Exploration Cost centres NGS'!$H$2:$I$2</definedName>
    <definedName name="BExSGOAYG73SFWOPAQV80P710GID">'[7]Exploration Cost centres NGS'!$E$1</definedName>
    <definedName name="BExSGOWJHRW7FWKLO2EHUOOGHNAF">'[7]Exploration Cost centres NGS'!$G$2</definedName>
    <definedName name="BExSGOWJTAP41ZV5Q23H7MI9C76W">'[7]Exploration Cost centres NGS'!$F$8:$G$8</definedName>
    <definedName name="BExSGR5JQVX2HQ0PKCGZNSSUM1RV">'[7]Exploration Cost centres NGS'!$F$8:$G$8</definedName>
    <definedName name="BExSGVHX69GJZHD99DKE4RZ042B1">'[7]Exploration Cost centres NGS'!$F$8:$G$8</definedName>
    <definedName name="BExSGZJO4J4ZO04E2N2ECVYS9DEZ">'[7]Exploration Cost centres NGS'!$I$11:$J$11</definedName>
    <definedName name="BExSHAHFHS7MMNJR8JPVABRGBVIT">'[7]Exploration Cost centres NGS'!$I$9:$J$9</definedName>
    <definedName name="BExSHGH88QZWW4RNAX4YKAZ5JEBL">'[7]Exploration Cost centres NGS'!$H$2:$I$2</definedName>
    <definedName name="BExSHOKK1OO3CX9Z28C58E5J1D9W">'[7]Exploration Cost centres NGS'!$F$7:$G$7</definedName>
    <definedName name="BExSHQD8KYLTQGDXIRKCHQQ7MKIH">'[7]Exploration Cost centres NGS'!$I$11:$J$11</definedName>
    <definedName name="BExSHVGPIAHXI97UBLI9G4I4M29F">'[7]Exploration Cost centres NGS'!$I$7:$J$7</definedName>
    <definedName name="BExSI0K2YL3HTCQAD8A7TR4QCUR6">'[7]Exploration Cost centres NGS'!$F$15:$J$123</definedName>
    <definedName name="BExSIFUDNRWXWIWNGCCFOOD8WIAZ">'[7]Exploration Cost centres NGS'!$F$10:$G$10</definedName>
    <definedName name="BExTTWD2PGX3Y9FR5F2MRNLY1DIY">'[7]Exploration Cost centres NGS'!$I$8:$J$8</definedName>
    <definedName name="BExTTZNS2PBCR93C9IUW49UZ4I6T">'[7]Exploration Cost centres NGS'!$E$2</definedName>
    <definedName name="BExTU2YFQ25JQ6MEMRHHN66VLTPJ">'[7]Exploration Cost centres NGS'!$F$9:$G$9</definedName>
    <definedName name="BExTU75IOII1V5O0C9X2VAYYVJUG">'[7]Exploration Cost centres NGS'!$F$15</definedName>
    <definedName name="BExTUA5F7V4LUIIAM17J3A8XF3JE">'[7]Exploration Cost centres NGS'!$F$8:$G$8</definedName>
    <definedName name="BExTUJ53ANGZ3H1KDK4CR4Q0OD6P">'[7]Exploration Cost centres NGS'!$F$11:$G$11</definedName>
    <definedName name="BExTUKXSZBM7C57G6NGLWGU4WOHY">'[7]Exploration Cost centres NGS'!$I$6:$J$6</definedName>
    <definedName name="BExTUSQCFFYZCDNHWHADBC2E1ZP1">'[7]Exploration Cost centres NGS'!$I$7:$J$7</definedName>
    <definedName name="BExTUVFGOJEYS28JURA5KHQFDU5J">'[7]Exploration Cost centres NGS'!$F$7:$G$7</definedName>
    <definedName name="BExTUW10U40QCYGHM5NJ3YR1O5SP">'[7]Exploration Cost centres NGS'!$F$9:$G$9</definedName>
    <definedName name="BExTUWXFQHINU66YG82BI20ATMB5">'[7]Exploration Cost centres NGS'!$F$15:$G$26</definedName>
    <definedName name="BExTV67VIM8PV6KO253M4DUBJQLC">'[7]Exploration Cost centres NGS'!$F$15</definedName>
    <definedName name="BExTVELZCF2YA5L6F23BYZZR6WHF">'[7]Exploration Cost centres NGS'!$C$15:$D$29</definedName>
    <definedName name="BExTVGPIQZ99YFXUC8OONUX5BD42">'[7]Exploration Cost centres NGS'!$F$11:$G$11</definedName>
    <definedName name="BExTVZQLP9VFLEYQ9280W13X7E8K">'[7]Exploration Cost centres NGS'!$I$7:$J$7</definedName>
    <definedName name="BExTWB4LA1PODQOH4LDTHQKBN16K">'[7]Exploration Cost centres NGS'!$F$15</definedName>
    <definedName name="BExTWI0Q8AWXUA3ZN7I5V3QK2KM1">'[7]Exploration Cost centres NGS'!$I$11:$J$11</definedName>
    <definedName name="BExTWJTIA3WUW1PUWXAOP9O8NKLZ">'[7]Exploration Cost centres NGS'!$F$6:$G$6</definedName>
    <definedName name="BExTWW95OX07FNA01WF5MSSSFQLX">'[7]Exploration Cost centres NGS'!$F$7:$G$7</definedName>
    <definedName name="BExTX476KI0RNB71XI5TYMANSGBG">'[7]Exploration Cost centres NGS'!$F$10:$G$10</definedName>
    <definedName name="BExTXJ6HBAIXMMWKZTJNFDYVZCAY">'[7]Exploration Cost centres NGS'!$E$2</definedName>
    <definedName name="BExTXT812NQT8GAEGH738U29BI0D">'[7]Exploration Cost centres NGS'!$C$15:$D$29</definedName>
    <definedName name="BExTXWIP2TFPTQ76NHFOB72NICRZ">'[7]Exploration Cost centres NGS'!$H$2:$I$2</definedName>
    <definedName name="BExTY5T62H651VC86QM4X7E28JVA">'[7]Exploration Cost centres NGS'!$E$1</definedName>
    <definedName name="BExTYHCJJ2NWRM1RV59FYR41534U">'[7]Exploration Cost centres NGS'!$I$8:$J$8</definedName>
    <definedName name="BExTYKCEFJ83LZM95M1V7CSFQVEA">'[7]Exploration Cost centres NGS'!$G$2</definedName>
    <definedName name="BExTYPLA9N640MFRJJQPKXT7P88M">'[7]Exploration Cost centres NGS'!$I$10:$J$10</definedName>
    <definedName name="BExTZ0DQYI7I244MY53DB0X076HR">'[7]Exploration Cost centres NGS'!$I$8:$J$8</definedName>
    <definedName name="BExTZ7F71SNTOX4LLZCK5R9VUMIJ">'[7]Exploration Cost centres NGS'!$F$8:$G$8</definedName>
    <definedName name="BExTZ8X5G9S3PA4FPSNK7T69W7QT">'[7]Exploration Cost centres NGS'!$F$15</definedName>
    <definedName name="BExTZ97Y0RMR8V5BI9F2H4MFB77O">'[7]Exploration Cost centres NGS'!$F$8:$G$8</definedName>
    <definedName name="BExTZK5PMCAXJL4DUIGL6H9Y8U4C">'[7]Exploration Cost centres NGS'!$G$2</definedName>
    <definedName name="BExTZKB6L5SXV5UN71YVTCBEIGWY">'[7]Exploration Cost centres NGS'!$F$11:$G$11</definedName>
    <definedName name="BExTZLICVKK4NBJFEGL270GJ2VQO">'[7]Exploration Cost centres NGS'!$F$11:$G$11</definedName>
    <definedName name="BExTZO2596CBZKPI7YNA1QQNPAIJ">'[7]Exploration Cost centres NGS'!$E$1</definedName>
    <definedName name="BExTZY8TDV4U7FQL7O10G6VKWKPJ">'[7]Exploration Cost centres NGS'!$F$10:$G$10</definedName>
    <definedName name="BExU02QNT4LT7H9JPUC4FXTLVGZT">'[7]Exploration Cost centres NGS'!$E$1</definedName>
    <definedName name="BExU0BFJJQO1HJZKI14QGOQ6JROO">'[7]Exploration Cost centres NGS'!$I$9:$J$9</definedName>
    <definedName name="BExU0FH5WTGW8MRFUFMDDSMJ6YQ5">'[7]Exploration Cost centres NGS'!$F$10:$G$10</definedName>
    <definedName name="BExU0GDOIL9U33QGU9ZU3YX3V1I4">'[7]Exploration Cost centres NGS'!$F$10:$G$10</definedName>
    <definedName name="BExU0HKTO8WJDQDWRTUK5TETM3HS">'[7]Exploration Cost centres NGS'!$F$15</definedName>
    <definedName name="BExU0MTJQPE041ZN7H8UKGV6MZT7">'[7]Exploration Cost centres NGS'!$F$10:$G$10</definedName>
    <definedName name="BExU0XB6XCXI4SZ92YEUFMW4TAXF">'[7]Exploration Cost centres NGS'!$F$11:$G$11</definedName>
    <definedName name="BExU0ZUUFYHLUK4M4E8GLGIBBNT0">'[7]Exploration Cost centres NGS'!$F$10:$G$10</definedName>
    <definedName name="BExU147D6RPG6ZVTSXRKFSVRHSBG">'[7]Exploration Cost centres NGS'!$F$11:$G$11</definedName>
    <definedName name="BExU16R10W1SOAPNG4CDJ01T7JRE">'[7]Exploration Cost centres NGS'!$I$6:$J$6</definedName>
    <definedName name="BExU17CKOR3GNIHDNVLH9L1IOJS9">'[7]Exploration Cost centres NGS'!$F$10:$G$10</definedName>
    <definedName name="BExU1GXUTLRPJN4MRINLAPHSZQFG">'[7]Exploration Cost centres NGS'!$F$15</definedName>
    <definedName name="BExU1IL9AOHFO85BZB6S60DK3N8H">'[7]Exploration Cost centres NGS'!$E$1</definedName>
    <definedName name="BExU1NOPS09CLFZL1O31RAF9BQNQ">'[7]Exploration Cost centres NGS'!$C$15:$D$29</definedName>
    <definedName name="BExU1PH9MOEX1JZVZ3D5M9DXB191">'[7]Exploration Cost centres NGS'!$H$2:$I$2</definedName>
    <definedName name="BExU1QZEEKJA35IMEOLOJ3ODX0ZA">'[7]Exploration Cost centres NGS'!$F$9:$G$9</definedName>
    <definedName name="BExU1VRURIWWVJ95O40WA23LMTJD">'[7]Exploration Cost centres NGS'!$E$1</definedName>
    <definedName name="BExU2M5CK6XK55UIHDVYRXJJJRI4">'[7]Exploration Cost centres NGS'!$F$15</definedName>
    <definedName name="BExU2TXVT25ZTOFQAF6CM53Z1RLF">'[7]Exploration Cost centres NGS'!$K$2</definedName>
    <definedName name="BExU2XZLYIU19G7358W5T9E87AFR">'[7]Exploration Cost centres NGS'!$I$7:$J$7</definedName>
    <definedName name="BExU3B66MCKJFSKT3HL8B5EJGVX0">'[7]Exploration Cost centres NGS'!$G$2</definedName>
    <definedName name="BExU3UNI9NR1RNZR07NSLSZMDOQQ">'[7]Exploration Cost centres NGS'!$I$6:$J$6</definedName>
    <definedName name="BExU401R18N6XKZKL7CNFOZQCM14">'[7]Exploration Cost centres NGS'!$F$10:$G$10</definedName>
    <definedName name="BExU42QVGY7TK39W1BIN6CDRG2OE">'[7]Exploration Cost centres NGS'!$I$10:$J$10</definedName>
    <definedName name="BExU44P2AEX6PD8VC4ISCROUCQSP">'[7]Exploration Cost centres NGS'!$F$6:$G$6</definedName>
    <definedName name="BExU47OZMS6TCWMEHHF0UCSFLLPI">'[7]Exploration Cost centres NGS'!$F$10:$G$10</definedName>
    <definedName name="BExU4D36E8TXN0M8KSNGEAFYP4DQ">'[7]Exploration Cost centres NGS'!$F$11:$G$11</definedName>
    <definedName name="BExU4G31RRVLJ3AC6E1FNEFMXM3O">'[7]Exploration Cost centres NGS'!$I$7:$J$7</definedName>
    <definedName name="BExU4GDVLPUEWBA4MRYRTQAUNO7B">'[7]Exploration Cost centres NGS'!$C$15:$D$29</definedName>
    <definedName name="BExU4I148DA7PRCCISLWQ6ABXFK6">'[7]Exploration Cost centres NGS'!$F$2:$G$2</definedName>
    <definedName name="BExU4L101H2KQHVKCKQ4PBAWZV6K">'[7]Exploration Cost centres NGS'!$G$2</definedName>
    <definedName name="BExU4NA00RRRBGRT6TOB0MXZRCRZ">'[7]Exploration Cost centres NGS'!$I$8:$J$8</definedName>
    <definedName name="BExU51IFNZXPBDES28457LR8X60M">'[7]Exploration Cost centres NGS'!$F$6:$G$6</definedName>
    <definedName name="BExU529I6YHVOG83TJHWSILIQU1S">'[7]Exploration Cost centres NGS'!$F$6:$G$6</definedName>
    <definedName name="BExU57YCIKPRD8QWL6EU0YR3NG3J">'[7]Exploration Cost centres NGS'!$G$2</definedName>
    <definedName name="BExU5DSTBWXLN6E59B757KRWRI6E">'[7]Exploration Cost centres NGS'!$H$2:$I$2</definedName>
    <definedName name="BExU5TDWM8NNDHYPQ7OQODTQ368A">'[7]Exploration Cost centres NGS'!$I$9:$J$9</definedName>
    <definedName name="BExU5X4OX1V1XHS6WSSORVQPP6Z3">'[7]Exploration Cost centres NGS'!$I$8:$J$8</definedName>
    <definedName name="BExU5XVPARTFMRYHNUTBKDIL4UJN">'[7]Exploration Cost centres NGS'!$F$9:$G$9</definedName>
    <definedName name="BExU66KMFBAP8JCVG9VM1RD1TNFF">'[7]Exploration Cost centres NGS'!$F$8:$G$8</definedName>
    <definedName name="BExU68IOM3CB3TACNAE9565TW7SH">'[7]Exploration Cost centres NGS'!$H$2:$I$2</definedName>
    <definedName name="BExU6AM82KN21E82HMWVP3LWP9IL">'[7]Exploration Cost centres NGS'!$I$8:$J$8</definedName>
    <definedName name="BExU6FEU1MRHU98R9YOJC5OKUJ6L">'[7]Exploration Cost centres NGS'!$I$11:$J$11</definedName>
    <definedName name="BExU6KIAJ663Y8W8QMU4HCF183DF">'[7]Exploration Cost centres NGS'!$F$7:$G$7</definedName>
    <definedName name="BExU6KT19B4PG6SHXFBGBPLM66KT">'[7]Exploration Cost centres NGS'!$G$2</definedName>
    <definedName name="BExU6PAVKIOAIMQ9XQIHHF1SUAGO">'[7]Exploration Cost centres NGS'!$F$6:$G$6</definedName>
    <definedName name="BExU6WXXC7SSQDMHSLUN5C2V4IYX">'[7]Exploration Cost centres NGS'!$I$7:$J$7</definedName>
    <definedName name="BExU73387E74XE8A9UKZLZNJYY65">'[7]Exploration Cost centres NGS'!$I$7:$J$7</definedName>
    <definedName name="BExU76ZHCJM8I7VSICCMSTC33O6U">'[7]Exploration Cost centres NGS'!$I$9:$J$9</definedName>
    <definedName name="BExU7BBTUF8BQ42DSGM94X5TG5GF">'[7]Exploration Cost centres NGS'!$I$10:$J$10</definedName>
    <definedName name="BExU7HH4EAHFQHT4AXKGWAWZP3I0">'[7]Exploration Cost centres NGS'!$I$8:$J$8</definedName>
    <definedName name="BExU7MF1ZVPDHOSMCAXOSYICHZ4I">'[7]Exploration Cost centres NGS'!$F$11:$G$11</definedName>
    <definedName name="BExU7O2BJ6D5YCKEL6FD2EFCWYRX">'[7]Exploration Cost centres NGS'!$I$7:$J$7</definedName>
    <definedName name="BExU7Q0JS9YIUKUPNSSAIDK2KJAV">'[7]Exploration Cost centres NGS'!$F$10:$G$10</definedName>
    <definedName name="BExU80I6AE5OU7P7F5V7HWIZBJ4P">'[7]Exploration Cost centres NGS'!$C$15:$D$29</definedName>
    <definedName name="BExU86NB26MCPYIISZ36HADONGT2">'[7]Exploration Cost centres NGS'!$H$2:$I$2</definedName>
    <definedName name="BExU885EZZNSZV3GP298UJ8LB7OL">'[7]Exploration Cost centres NGS'!$F$9:$G$9</definedName>
    <definedName name="BExU8FSAUP9TUZ1NO9WXK80QPHWV">'[7]Exploration Cost centres NGS'!$H$2:$I$2</definedName>
    <definedName name="BExU8KFLAN778MBN93NYZB0FV30G">'[7]Exploration Cost centres NGS'!$I$6:$J$6</definedName>
    <definedName name="BExU8UX9JX3XLB47YZ8GFXE0V7R2">'[7]Exploration Cost centres NGS'!$I$11:$J$11</definedName>
    <definedName name="BExU91DC3DGKPZD6LTER2IRTF89C">'[7]Exploration Cost centres NGS'!$J$2:$K$2</definedName>
    <definedName name="BExU96M1J7P9DZQ3S9H0C12KGYTW">'[7]Exploration Cost centres NGS'!$F$11:$G$11</definedName>
    <definedName name="BExU9F05OR1GZ3057R6UL3WPEIYI">'[7]Exploration Cost centres NGS'!$I$10:$J$10</definedName>
    <definedName name="BExU9GCSO5YILIKG6VAHN13DL75K">'[7]Exploration Cost centres NGS'!$F$15</definedName>
    <definedName name="BExU9KJOZLO15N11MJVN782NFGJ0">'[7]Exploration Cost centres NGS'!$G$2</definedName>
    <definedName name="BExU9LG29XU2K1GNKRO4438JYQZE">'[7]Exploration Cost centres NGS'!$F$10:$G$10</definedName>
    <definedName name="BExU9RW36I5Z6JIXUIUB3PJH86LT">'[7]Exploration Cost centres NGS'!$I$11:$J$11</definedName>
    <definedName name="BExUA28AO7OWDG3H23Q0CL4B7BHW">'[7]Exploration Cost centres NGS'!$I$10:$J$10</definedName>
    <definedName name="BExUA5O923FFNEBY8BPO1TU3QGBM">'[7]Exploration Cost centres NGS'!$F$8:$G$8</definedName>
    <definedName name="BExUA6Q4K25VH452AQ3ZIRBCMS61">'[7]Exploration Cost centres NGS'!$I$11:$J$11</definedName>
    <definedName name="BExUAFV4JMBSM2SKBQL9NHL0NIBS">'[7]Exploration Cost centres NGS'!$I$8:$J$8</definedName>
    <definedName name="BExUAMWQODKBXMRH1QCMJLJBF8M7">'[7]Exploration Cost centres NGS'!$I$8:$J$8</definedName>
    <definedName name="BExUAX8WS5OPVLCDXRGKTU2QMTFO">'[7]Exploration Cost centres NGS'!$F$11:$G$11</definedName>
    <definedName name="BExUB8HLEXSBVPZ5AXNQEK96F1N4">'[7]Exploration Cost centres NGS'!$I$8:$J$8</definedName>
    <definedName name="BExUBCDVZIEA7YT0LPSMHL5ZSERQ">'[7]Exploration Cost centres NGS'!$F$11:$G$11</definedName>
    <definedName name="BExUBKXBUCN760QYU7Q8GESBWOQH">'[7]Exploration Cost centres NGS'!$I$9:$J$9</definedName>
    <definedName name="BExUBL83ED0P076RN9RJ8P1MZ299">'[7]Exploration Cost centres NGS'!$H$2:$I$2</definedName>
    <definedName name="BExUC623BDYEODBN0N4DO6PJQ7NU">'[7]Exploration Cost centres NGS'!$C$15:$D$29</definedName>
    <definedName name="BExUC8WH8TCKBB5313JGYYQ1WFLT">'[7]Exploration Cost centres NGS'!$I$11:$J$11</definedName>
    <definedName name="BExUCCHXFDX9D4W41EVPGLQRGXFQ">'[7]Exploration Cost centres NGS'!$J$2:$K$2</definedName>
    <definedName name="BExUCFCDK6SPH86I6STXX8X3WMC4">'[7]Exploration Cost centres NGS'!$F$11:$G$11</definedName>
    <definedName name="BExUCLC6AQ5KR6LXSAXV4QQ8ASVG">'[7]Exploration Cost centres NGS'!$I$9:$J$9</definedName>
    <definedName name="BExUD4IOJ12X3PJG5WXNNGDRCKAP">'[7]Exploration Cost centres NGS'!$G$2</definedName>
    <definedName name="BExUD9WX9BWK72UWVSLYZJLAY5VY">'[7]Exploration Cost centres NGS'!$I$6:$J$6</definedName>
    <definedName name="BExUDBEUJH9IACZDBL1VAUWPG0QW">'[7]Exploration Cost centres NGS'!$I$7:$J$7</definedName>
    <definedName name="BExUDEV0CYVO7Y5IQQBEJ6FUY9S6">'[7]Exploration Cost centres NGS'!$E$1</definedName>
    <definedName name="BExUDWOXQGIZW0EAIIYLQUPXF8YV">'[7]Exploration Cost centres NGS'!$H$2:$I$2</definedName>
    <definedName name="BExUDXAIC17W1FUU8Z10XUAVB7CS">'[7]Exploration Cost centres NGS'!$I$6:$J$6</definedName>
    <definedName name="BExUE5OMY7OAJQ9WR8C8HG311ORP">'[7]Exploration Cost centres NGS'!$F$6:$G$6</definedName>
    <definedName name="BExUEFKOQWXXGRNLAOJV2BJ66UB8">'[7]Exploration Cost centres NGS'!$K$2</definedName>
    <definedName name="BExUEJGX3OQQP5KFRJSRCZ70EI9V">'[7]Exploration Cost centres NGS'!$E$1</definedName>
    <definedName name="BExUEYR71COFS2X8PDNU21IPMQEU">'[7]Exploration Cost centres NGS'!$F$8:$G$8</definedName>
    <definedName name="BExVPRLJ9I6RX45EDVFSQGCPJSOK">'[7]Exploration Cost centres NGS'!$I$10:$J$10</definedName>
    <definedName name="BExVSL787C8E4HFQZ2NVLT35I2XV">'[7]Exploration Cost centres NGS'!$I$10:$J$10</definedName>
    <definedName name="BExVSTFTVV14SFGHQUOJL5SQ5TX9">'[7]Exploration Cost centres NGS'!$G$2</definedName>
    <definedName name="BExVT3MPE8LQ5JFN3HQIFKSQ80U4">'[7]Exploration Cost centres NGS'!$F$8:$G$8</definedName>
    <definedName name="BExVT7TRK3NZHPME2TFBXOF1WBR9">'[7]Exploration Cost centres NGS'!$I$9:$J$9</definedName>
    <definedName name="BExVT9H0R0T7WGQAAC0HABMG54YM">'[7]Exploration Cost centres NGS'!$K$2</definedName>
    <definedName name="BExVTCMDDEDGLUIMUU6BSFHEWTOP">'[7]Exploration Cost centres NGS'!$E$1</definedName>
    <definedName name="BExVTCMDQMLKRA2NQR72XU6Y54IK">'[7]Exploration Cost centres NGS'!$H$2:$I$2</definedName>
    <definedName name="BExVTCRV8FQ5U9OYWWL44N6KFNHU">'[7]Exploration Cost centres NGS'!$I$11:$J$11</definedName>
    <definedName name="BExVTNESHPVG0A0KZ7BRX26MS0PF">'[7]Exploration Cost centres NGS'!$I$7:$J$7</definedName>
    <definedName name="BExVTTJVTNRSBHBTUZ78WG2JM5MK">'[7]Exploration Cost centres NGS'!$I$6:$J$6</definedName>
    <definedName name="BExVTXLMYR87BC04D1ERALPUFVPG">'[7]Exploration Cost centres NGS'!$F$15</definedName>
    <definedName name="BExVUL9V3H8ZF6Y72LQBBN639YAA">'[7]Exploration Cost centres NGS'!$F$8:$G$8</definedName>
    <definedName name="BExVV5T14N2HZIK7HQ4P2KG09U0J">'[7]Exploration Cost centres NGS'!$I$10:$J$10</definedName>
    <definedName name="BExVV7R410VYLADLX9LNG63ID6H1">'[7]Exploration Cost centres NGS'!$I$10:$J$10</definedName>
    <definedName name="BExVVCEED4JEKF59OV0G3T4XFMFO">'[7]Exploration Cost centres NGS'!$F$15</definedName>
    <definedName name="BExVVPFO2J7FMSRPD36909HN4BZJ">'[7]Exploration Cost centres NGS'!$C$15:$D$29</definedName>
    <definedName name="BExVVQ19AQ3VCARJOC38SF7OYE9Y">'[7]Exploration Cost centres NGS'!$I$11:$J$11</definedName>
    <definedName name="BExVVQ19TAECID45CS4HXT1RD3AQ">'[7]Exploration Cost centres NGS'!$C$15:$D$29</definedName>
    <definedName name="BExVW3YV5XGIVJ97UUPDJGJ2P15B">'[7]Exploration Cost centres NGS'!$I$8:$J$8</definedName>
    <definedName name="BExVW5X571GEYR5SCU1Z2DHKWM79">'[7]Exploration Cost centres NGS'!$H$2:$I$2</definedName>
    <definedName name="BExVW6YTKA098AF57M4PHNQ54XMH">'[7]Exploration Cost centres NGS'!$F$8:$G$8</definedName>
    <definedName name="BExVWINKCH0V0NUWH363SMXAZE62">'[7]Exploration Cost centres NGS'!$F$6:$G$6</definedName>
    <definedName name="BExVWYU8EK669NP172GEIGCTVPPA">'[7]Exploration Cost centres NGS'!$I$8:$J$8</definedName>
    <definedName name="BExVX3MVJ0GHWPP1EL59ZQNKMX0B">'[7]Exploration Cost centres NGS'!$F$10:$G$10</definedName>
    <definedName name="BExVX3XN2DRJKL8EDBIG58RYQ36R">'[7]Exploration Cost centres NGS'!$I$6:$J$6</definedName>
    <definedName name="BExVXDZ63PUART77BBR5SI63TPC6">'[7]Exploration Cost centres NGS'!$I$11:$J$11</definedName>
    <definedName name="BExVXHKI6LFYMGWISMPACMO247HL">'[7]Exploration Cost centres NGS'!$F$9:$G$9</definedName>
    <definedName name="BExVXLX2BZ5EF2X6R41BTKRJR1NM">'[7]Exploration Cost centres NGS'!$E$1</definedName>
    <definedName name="BExVY11V7U1SAY4QKYE0PBSPD7LW">'[7]Exploration Cost centres NGS'!$F$7:$G$7</definedName>
    <definedName name="BExVY1SV37DL5YU59HS4IG3VBCP4">'[7]Exploration Cost centres NGS'!$C$15:$D$29</definedName>
    <definedName name="BExVY3WFGJKSQA08UF9NCMST928Y">'[7]Exploration Cost centres NGS'!$F$7:$G$7</definedName>
    <definedName name="BExVY954UOEVQEIC5OFO4NEWVKAQ">'[7]Exploration Cost centres NGS'!$F$11:$G$11</definedName>
    <definedName name="BExVYHDYIV5397LC02V4FEP8VD6W">'[7]Exploration Cost centres NGS'!$I$10:$J$10</definedName>
    <definedName name="BExVYOVIZDA18YIQ0A30Q052PCAK">'[7]Exploration Cost centres NGS'!$H$2:$I$2</definedName>
    <definedName name="BExVYQIXPEM6J4JVP78BRHIC05PV">'[7]Exploration Cost centres NGS'!$F$8:$G$8</definedName>
    <definedName name="BExVYVGWN7SONLVDH9WJ2F1JS264">'[7]Exploration Cost centres NGS'!$I$7:$J$7</definedName>
    <definedName name="BExVZ9EO732IK6MNMG17Y1EFTJQC">'[7]Exploration Cost centres NGS'!$F$8:$G$8</definedName>
    <definedName name="BExVZB1Y5J4UL2LKK0363EU7GIJ1">'[7]Exploration Cost centres NGS'!$F$7:$G$7</definedName>
    <definedName name="BExVZJQVO5LQ0BJH5JEN5NOBIAF6">'[7]Exploration Cost centres NGS'!$C$15:$D$29</definedName>
    <definedName name="BExVZNXWS91RD7NXV5NE2R3C8WW7">'[7]Exploration Cost centres NGS'!$I$8:$J$8</definedName>
    <definedName name="BExW0386REQRCQCVT9BCX80UPTRY">'[7]Exploration Cost centres NGS'!$K$2</definedName>
    <definedName name="BExW0FYP4WXY71CYUG40SUBG9UWU">'[7]Exploration Cost centres NGS'!$H$2:$I$2</definedName>
    <definedName name="BExW0RI61B4VV0ARXTFVBAWRA1C5">'[7]Exploration Cost centres NGS'!$F$9:$G$9</definedName>
    <definedName name="BExW1BVUYQTKMOR56MW7RVRX4L1L">'[7]Exploration Cost centres NGS'!$F$15</definedName>
    <definedName name="BExW1F1220628FOMTW5UAATHRJHK">'[7]Exploration Cost centres NGS'!$F$8:$G$8</definedName>
    <definedName name="BExW1TKA0Z9OP2DTG50GZR5EG8C7">'[7]Exploration Cost centres NGS'!$K$2</definedName>
    <definedName name="BExW1U0JLKQ094DW5MMOI8UHO09V">'[7]Exploration Cost centres NGS'!$I$8:$J$8</definedName>
    <definedName name="BExW283NP9D366XFPXLGSCI5UB0L">'[7]Exploration Cost centres NGS'!$F$6:$G$6</definedName>
    <definedName name="BExW2H3C8WJSBW5FGTFKVDVJC4CL">'[7]Exploration Cost centres NGS'!$I$7:$J$7</definedName>
    <definedName name="BExW2MSCKPGF5K3I7TL4KF5ISUOL">'[7]Exploration Cost centres NGS'!$F$15</definedName>
    <definedName name="BExW2SMO90FU9W8DVVES6Q4E6BZR">'[7]Exploration Cost centres NGS'!$F$6:$G$6</definedName>
    <definedName name="BExW36V9N91OHCUMGWJQL3I5P4JK">'[7]Exploration Cost centres NGS'!$F$15</definedName>
    <definedName name="BExW3EIBA1J9Q9NA9VCGZGRS8WV7">'[7]Exploration Cost centres NGS'!$F$9:$G$9</definedName>
    <definedName name="BExW3FEO8FI8N6AGQKYEG4SQVJWB">'[7]Exploration Cost centres NGS'!$K$2</definedName>
    <definedName name="BExW3GB28STOMJUSZEIA7YKYNS4Y">'[7]Exploration Cost centres NGS'!$H$2:$I$2</definedName>
    <definedName name="BExW3T1K638HT5E0Y8MMK108P5JT">'[7]Exploration Cost centres NGS'!$F$6:$G$6</definedName>
    <definedName name="BExW4217ZHL9VO39POSTJOD090WU">'[7]Exploration Cost centres NGS'!$F$6:$G$6</definedName>
    <definedName name="BExW4GPW71EBF8XPS2QGVQHBCDX3">'[7]Exploration Cost centres NGS'!$H$2:$I$2</definedName>
    <definedName name="BExW4JKC5837JBPCOJV337ZVYYY3">'[7]Exploration Cost centres NGS'!$G$2</definedName>
    <definedName name="BExW4QR9FV9MP5K610THBSM51RYO">'[7]Exploration Cost centres NGS'!$H$2:$I$2</definedName>
    <definedName name="BExW4Z029R9E19ZENN3WEA3VDAD1">'[7]Exploration Cost centres NGS'!$G$2</definedName>
    <definedName name="BExW5AZNT6IAZGNF2C879ODHY1B8">'[7]Exploration Cost centres NGS'!$F$11:$G$11</definedName>
    <definedName name="BExW5WPU27WD4NWZOT0ZEJIDLX5J">'[7]Exploration Cost centres NGS'!$I$6:$J$6</definedName>
    <definedName name="BExW660AV1TUV2XNUPD65RZR3QOO">'[7]Exploration Cost centres NGS'!$F$9:$G$9</definedName>
    <definedName name="BExW66LVVZK656PQY1257QMHP2AY">'[7]Exploration Cost centres NGS'!$E$1</definedName>
    <definedName name="BExW6EJPHAP1TWT380AZLXNHR22P">'[7]Exploration Cost centres NGS'!$I$7:$J$7</definedName>
    <definedName name="BExW6G1PJ38H10DVLL8WPQ736OEB">'[7]Exploration Cost centres NGS'!$I$6:$J$6</definedName>
    <definedName name="BExW794A74Z5F2K8LVQLD6VSKXUE">'[7]Exploration Cost centres NGS'!$F$8:$G$8</definedName>
    <definedName name="BExW8K0SSIPSKBVP06IJ71600HJZ">'[7]Exploration Cost centres NGS'!$H$2:$I$2</definedName>
    <definedName name="BExW8NM8DJJESE7GF7VGTO2XO6P1">'[7]Exploration Cost centres NGS'!$I$8:$J$8</definedName>
    <definedName name="BExW8T0GVY3ZYO4ACSBLHS8SH895">'[7]Exploration Cost centres NGS'!$F$15</definedName>
    <definedName name="BExW8YEP73JMMU9HZ08PM4WHJQZ4">'[7]Exploration Cost centres NGS'!$I$8:$J$8</definedName>
    <definedName name="BExW937AT53OZQRHNWQZ5BVH24IE">'[7]Exploration Cost centres NGS'!$I$11:$J$11</definedName>
    <definedName name="BExW95LN5N0LYFFVP7GJEGDVDLF0">'[7]Exploration Cost centres NGS'!$G$2</definedName>
    <definedName name="BExW967733Q8RAJOHR2GJ3HO8JIW">'[7]Exploration Cost centres NGS'!$I$6:$J$6</definedName>
    <definedName name="BExW9POK1KIOI0ALS5MZIKTDIYMA">'[7]Exploration Cost centres NGS'!$I$10:$J$10</definedName>
    <definedName name="BExW9TVLB7OIHTG98I7I4EXBL61S">'[7]Exploration Cost centres NGS'!$I$6:$J$6</definedName>
    <definedName name="BExXLDE6PN4ESWT3LXJNQCY94NE4">'[7]Exploration Cost centres NGS'!$C$15:$D$29</definedName>
    <definedName name="BExXLQVPK2H3IF0NDDA5CT612EUK">'[7]Exploration Cost centres NGS'!$I$6:$J$6</definedName>
    <definedName name="BExXLR6IO70TYTACKQH9M5PGV24J">'[7]Exploration Cost centres NGS'!$F$11:$G$11</definedName>
    <definedName name="BExXM065WOLYRYHGHOJE0OOFXA4M">'[7]Exploration Cost centres NGS'!$C$15:$D$29</definedName>
    <definedName name="BExXM3GUNXVDM82KUR17NNUMQCNI">'[7]Exploration Cost centres NGS'!$F$7:$G$7</definedName>
    <definedName name="BExXMA28M8SH7MKIGETSDA72WUIZ">'[7]Exploration Cost centres NGS'!$I$9:$J$9</definedName>
    <definedName name="BExXMOLHIAHDLFSA31PUB36SC3I9">'[7]Exploration Cost centres NGS'!$G$2</definedName>
    <definedName name="BExXMT8T5Z3M2JBQN65X2LKH0YQI">'[7]Exploration Cost centres NGS'!$I$7:$J$7</definedName>
    <definedName name="BExXN1XNO7H60M9X1E7EVWFJDM5N">'[7]Exploration Cost centres NGS'!$I$7:$J$7</definedName>
    <definedName name="BExXN22ZOTIW49GPLWFYKVM90FNZ">'[7]Exploration Cost centres NGS'!$F$6:$G$6</definedName>
    <definedName name="BExXN4C031W9DK73MJHKL8YT1QA8">'[7]Exploration Cost centres NGS'!$F$8:$G$8</definedName>
    <definedName name="BExXN6QAP8UJQVN4R4BQKPP4QK35">'[7]Exploration Cost centres NGS'!$F$7:$G$7</definedName>
    <definedName name="BExXNBOA39T2X6Y5Y5GZ5DDNA1AX">'[7]Exploration Cost centres NGS'!$F$8:$G$8</definedName>
    <definedName name="BExXND6872VJ3M2PGT056WQMWBHD">'[7]Exploration Cost centres NGS'!$G$2</definedName>
    <definedName name="BExXNPM24UN2PGVL9D1TUBFRIKR4">'[7]Exploration Cost centres NGS'!$F$7:$G$7</definedName>
    <definedName name="BExXNWYB165VO9MHARCL5WLCHWS0">'[7]Exploration Cost centres NGS'!$C$15:$D$29</definedName>
    <definedName name="BExXO278QHQN8JDK5425EJ615ECC">'[7]Exploration Cost centres NGS'!$F$7:$G$7</definedName>
    <definedName name="BExXOBHOP0WGFHI2Y9AO4L440UVQ">'[7]Exploration Cost centres NGS'!$F$11:$G$11</definedName>
    <definedName name="BExXOHSAD2NSHOLLMZ2JWA4I3I1R">'[7]Exploration Cost centres NGS'!$I$7:$J$7</definedName>
    <definedName name="BExXP80B5FGA00JCM7UXKPI3PB7Y">'[7]Exploration Cost centres NGS'!$I$9:$J$9</definedName>
    <definedName name="BExXP85M4WXYVN1UVHUTOEKEG5XS">'[7]Exploration Cost centres NGS'!$F$8:$G$8</definedName>
    <definedName name="BExXPELOTHOAG0OWILLAH94OZV5J">'[7]Exploration Cost centres NGS'!$H$2:$I$2</definedName>
    <definedName name="BExXPS31W1VD2NMIE4E37LHVDF0L">'[7]Exploration Cost centres NGS'!$F$8:$G$8</definedName>
    <definedName name="BExXPZKYEMVF5JOC14HYOOYQK6JK">'[7]Exploration Cost centres NGS'!$G$2</definedName>
    <definedName name="BExXQ89PA10X79WBWOEP1AJX1OQM">'[7]Exploration Cost centres NGS'!$F$11:$G$11</definedName>
    <definedName name="BExXQCGQGGYSI0LTRVR73MUO50AW">'[7]Exploration Cost centres NGS'!$I$6:$J$6</definedName>
    <definedName name="BExXQEEXFHDQ8DSRAJSB5ET6J004">'[7]Exploration Cost centres NGS'!$F$6:$G$6</definedName>
    <definedName name="BExXQH41O5HZAH8BO6HCFY8YC3TU">'[7]Exploration Cost centres NGS'!$C$15:$D$19</definedName>
    <definedName name="BExXQIRBLQSLAJTFL7224FCFUTKH">'[7]Exploration Cost centres NGS'!$C$15:$D$29</definedName>
    <definedName name="BExXQJIEF5R3QQ6D8HO3NGPU0IQC">'[7]Exploration Cost centres NGS'!$G$2</definedName>
    <definedName name="BExXQU00K9ER4I1WM7T9J0W1E7ZC">'[7]Exploration Cost centres NGS'!$I$10:$J$10</definedName>
    <definedName name="BExXQU00KOR7XLM8B13DGJ1MIQDY">'[7]Exploration Cost centres NGS'!$F$10:$G$10</definedName>
    <definedName name="BExXQXG18PS8HGBOS03OSTQ0KEYC">'[7]Exploration Cost centres NGS'!$G$2</definedName>
    <definedName name="BExXQXQT4OAFQT5B0YB3USDJOJOB">'[7]Exploration Cost centres NGS'!$I$9:$J$9</definedName>
    <definedName name="BExXR3FSEXAHSXEQNJORWFCPX86N">'[7]Exploration Cost centres NGS'!$I$6:$J$6</definedName>
    <definedName name="BExXR3W3FKYQBLR299HO9RZ70C43">'[7]Exploration Cost centres NGS'!$F$6:$G$6</definedName>
    <definedName name="BExXR46U23CRRBV6IZT982MAEQKI">'[7]Exploration Cost centres NGS'!$I$7:$J$7</definedName>
    <definedName name="BExXR8OKAVX7O70V5IYG2PRKXSTI">'[7]Exploration Cost centres NGS'!$I$7:$J$7</definedName>
    <definedName name="BExXRA6N6XCLQM6XDV724ZIH6G93">'[7]Exploration Cost centres NGS'!$F$10:$G$10</definedName>
    <definedName name="BExXRABZ1CNKCG6K1MR6OUFHF7J9">'[7]Exploration Cost centres NGS'!$F$10:$G$10</definedName>
    <definedName name="BExXRBOFETC0OTJ6WY3VPMFH03VB">'[7]Exploration Cost centres NGS'!$I$8:$J$8</definedName>
    <definedName name="BExXRD13K1S9Y3JGR7CXSONT7RJZ">'[7]Exploration Cost centres NGS'!$C$15:$D$29</definedName>
    <definedName name="BExXRIFB4QQ87QIGA9AG0NXP577K">'[7]Exploration Cost centres NGS'!$F$10:$G$10</definedName>
    <definedName name="BExXRIQ2JF2CVTRDQX2D9SPH7FTN">'[7]Exploration Cost centres NGS'!$I$11:$J$11</definedName>
    <definedName name="BExXRO4A6VUH1F4XV8N1BRJ4896W">'[7]Exploration Cost centres NGS'!$C$15:$D$29</definedName>
    <definedName name="BExXRO9N1SNJZGKD90P4K7FU1J0P">'[7]Exploration Cost centres NGS'!$F$15</definedName>
    <definedName name="BExXRV5QP3Z0KAQ1EQT9JYT2FV0L">'[7]Exploration Cost centres NGS'!$F$10:$G$10</definedName>
    <definedName name="BExXRZ20LZZCW8LVGDK0XETOTSAI">'[7]Exploration Cost centres NGS'!$F$15</definedName>
    <definedName name="BExXRZNM651EJ5HJPGKGTVYLAZQ1">'[7]Exploration Cost centres NGS'!$F$10:$G$10</definedName>
    <definedName name="BExXS63O4OMWMNXXAODZQFSDG33N">'[7]Exploration Cost centres NGS'!$F$6:$G$6</definedName>
    <definedName name="BExXSBSP1TOY051HSPEPM0AEIO2M">'[7]Exploration Cost centres NGS'!$F$6:$G$6</definedName>
    <definedName name="BExXSC8RFK5D68FJD2HI4K66SA6I">'[7]Exploration Cost centres NGS'!$F$10:$G$10</definedName>
    <definedName name="BExXSIU66GCC77KOXZS0OIFSOT0U">'[7]Exploration Cost centres NGS'!$I$9:$J$9</definedName>
    <definedName name="BExXSNHC88W4UMXEOIOOATJAIKZO">'[7]Exploration Cost centres NGS'!$I$8:$J$8</definedName>
    <definedName name="BExXSTBS08WIA9TLALV3UQ2Z3MRG">'[7]Exploration Cost centres NGS'!$I$7:$J$7</definedName>
    <definedName name="BExXSVQ2WOJJ73YEO8Q2FK60V4G8">'[7]Exploration Cost centres NGS'!$I$8:$J$8</definedName>
    <definedName name="BExXTHLRNL82GN7KZY3TOLO508N7">'[7]Exploration Cost centres NGS'!$F$8:$G$8</definedName>
    <definedName name="BExXTL72MKEQSQH9L2OTFLU8DM2B">'[7]Exploration Cost centres NGS'!$F$8:$G$8</definedName>
    <definedName name="BExXTM3M4RTCRSX7VGAXGQNPP668">'[7]Exploration Cost centres NGS'!$F$7:$G$7</definedName>
    <definedName name="BExXTOCF78J7WY6FOVBRY1N2RBBR">'[7]Exploration Cost centres NGS'!$H$2:$I$2</definedName>
    <definedName name="BExXTP3GYO6Z9RTKKT10XA0UTV3T">'[7]Exploration Cost centres NGS'!$I$8:$J$8</definedName>
    <definedName name="BExXTZKZ4CG92ZQLIRKEXXH9BFIR">'[7]Exploration Cost centres NGS'!$F$7:$G$7</definedName>
    <definedName name="BExXU4J2BM2964GD5UZHM752Q4NS">'[7]Exploration Cost centres NGS'!$F$9:$G$9</definedName>
    <definedName name="BExXU6XDTT7RM93KILIDEYPA9XKF">'[7]Exploration Cost centres NGS'!$I$6:$J$6</definedName>
    <definedName name="BExXU8VLZA7WLPZ3RAQZGNERUD26">'[7]Exploration Cost centres NGS'!$E$1</definedName>
    <definedName name="BExXUB9RSLSCNN5ETLXY72DAPZZM">'[7]Exploration Cost centres NGS'!$I$10:$J$10</definedName>
    <definedName name="BExXUFRM82XQIN2T8KGLDQL1IBQW">'[7]Exploration Cost centres NGS'!$G$2</definedName>
    <definedName name="BExXUQEQBF6FI240ZGIF9YXZSRAU">'[7]Exploration Cost centres NGS'!$F$10:$G$10</definedName>
    <definedName name="BExXUYND6EJO7CJ5KRICV4O1JNWK">'[7]Exploration Cost centres NGS'!$F$9:$G$9</definedName>
    <definedName name="BExXV6FWG4H3S2QEUJZYIXILNGJ7">'[7]Exploration Cost centres NGS'!$F$8:$G$8</definedName>
    <definedName name="BExXVK87BMMO6LHKV0CFDNIQVIBS">'[7]Exploration Cost centres NGS'!$I$11:$J$11</definedName>
    <definedName name="BExXVKZ9WXPGL6IVY6T61IDD771I">'[7]Exploration Cost centres NGS'!$F$8:$G$8</definedName>
    <definedName name="BExXW0K72T1Y8K1I4VZT87UY9S2G">'[7]Exploration Cost centres NGS'!$F$15</definedName>
    <definedName name="BExXW27MMXHXUXX78SDTBE1JYTHT">'[7]Exploration Cost centres NGS'!$I$7:$J$7</definedName>
    <definedName name="BExXW2YIM2MYBSHRIX0RP9D4PRMN">'[7]Exploration Cost centres NGS'!$I$6:$J$6</definedName>
    <definedName name="BExXWBNE4KTFSXKVSRF6WX039WPB">'[7]Exploration Cost centres NGS'!$F$9:$G$9</definedName>
    <definedName name="BExXWFP5AYE7EHYTJWBZSQ8PQ0YX">'[7]Exploration Cost centres NGS'!$I$9:$J$9</definedName>
    <definedName name="BExXWVFIBQT8OY1O41FRFPFGXQHK">'[7]Exploration Cost centres NGS'!$K$2</definedName>
    <definedName name="BExXWWXHBZHA9J3N8K47F84X0M0L">'[7]Exploration Cost centres NGS'!$I$10:$J$10</definedName>
    <definedName name="BExXXBM521DL8R4ZX7NZ3DBCUOR5">'[7]Exploration Cost centres NGS'!$C$15:$D$29</definedName>
    <definedName name="BExXXC7OZI33XZ03NRMEP7VRLQK4">'[7]Exploration Cost centres NGS'!$I$7:$J$7</definedName>
    <definedName name="BExXXH5N3NKBQ7BCJPJTBF8CYM2Q">'[7]Exploration Cost centres NGS'!$I$6:$J$6</definedName>
    <definedName name="BExXXKWLM4D541BH6O8GOJMHFHMW">'[7]Exploration Cost centres NGS'!$I$9:$J$9</definedName>
    <definedName name="BExXXPPA1Q87XPI97X0OXCPBPDON">'[7]Exploration Cost centres NGS'!$I$11:$J$11</definedName>
    <definedName name="BExXXVUDA98IZTQ6MANKU4MTTDVR">'[7]Exploration Cost centres NGS'!$I$10:$J$10</definedName>
    <definedName name="BExXXZQNZY6IZI45DJXJK0MQZWA7">'[7]Exploration Cost centres NGS'!$E$1</definedName>
    <definedName name="BExXY5QFG6QP94SFT3935OBM8Y4K">'[7]Exploration Cost centres NGS'!$I$7:$J$7</definedName>
    <definedName name="BExXY7TYEBFXRYUYIFHTN65RJ8EW">'[7]Exploration Cost centres NGS'!$C$15:$D$29</definedName>
    <definedName name="BExXYLBHANUXC5FCTDDTGOVD3GQS">'[7]Exploration Cost centres NGS'!$I$8:$J$8</definedName>
    <definedName name="BExXYMNYAYH3WA2ZCFAYKZID9ZCI">'[7]Exploration Cost centres NGS'!$I$9:$J$9</definedName>
    <definedName name="BExXYYT12SVN2VDMLVNV4P3ISD8T">'[7]Exploration Cost centres NGS'!$I$7:$J$7</definedName>
    <definedName name="BExXZEDWUYH25UZMW2QU2RXFILJE">'[7]Exploration Cost centres NGS'!$F$7:$G$7</definedName>
    <definedName name="BExXZFVV4YB42AZ3H1I40YG3JAPU">'[7]Exploration Cost centres NGS'!$I$11:$J$11</definedName>
    <definedName name="BExXZHJ9T2JELF12CHHGD54J1B0C">'[7]Exploration Cost centres NGS'!$F$7:$G$7</definedName>
    <definedName name="BExXZNJ2X1TK2LRK5ZY3MX49H5T7">'[7]Exploration Cost centres NGS'!$J$2:$K$2</definedName>
    <definedName name="BExXZOVPCEP495TQSON6PSRQ8XCY">'[7]Exploration Cost centres NGS'!$C$15:$D$29</definedName>
    <definedName name="BExXZXKH7NBARQQAZM69Z57IH1MM">'[7]Exploration Cost centres NGS'!$F$6:$G$6</definedName>
    <definedName name="BExY07WSDH5QEVM7BJXJK2ZRAI1O">'[7]Exploration Cost centres NGS'!$E$1</definedName>
    <definedName name="BExY0C3UBVC4M59JIRXVQ8OWAJC1">'[7]Exploration Cost centres NGS'!$I$7:$J$7</definedName>
    <definedName name="BExY0OE8GFHMLLTEAFIOQTOPEVPB">'[7]Exploration Cost centres NGS'!$F$8:$G$8</definedName>
    <definedName name="BExY0OJHW85S0VKBA8T4HTYPYBOS">'[7]Exploration Cost centres NGS'!$I$10:$J$10</definedName>
    <definedName name="BExY0T1E034D7XAXNC6F7540LLIE">'[7]Exploration Cost centres NGS'!$F$15</definedName>
    <definedName name="BExY0XTZLHN49J2JH94BYTKBJLT3">'[7]Exploration Cost centres NGS'!$F$10:$G$10</definedName>
    <definedName name="BExY11FH9TXHERUYGG8FE50U7H7J">'[7]Exploration Cost centres NGS'!$F$10:$G$10</definedName>
    <definedName name="BExY180UKNW5NIAWD6ZUYTFEH8QS">'[7]Exploration Cost centres NGS'!$F$15</definedName>
    <definedName name="BExY1DPTV4LSY9MEOUGXF8X052NA">'[7]Exploration Cost centres NGS'!$F$7:$G$7</definedName>
    <definedName name="BExY1GK9ELBEKDD7O6HR6DUO8YGO">'[7]Exploration Cost centres NGS'!$I$11:$J$11</definedName>
    <definedName name="BExY1NWOXXFV9GGZ3PX444LZ8TVX">'[7]Exploration Cost centres NGS'!$F$10:$G$10</definedName>
    <definedName name="BExY1UCL0RND63LLSM9X5SFRG117">'[7]Exploration Cost centres NGS'!$H$2:$I$2</definedName>
    <definedName name="BExY1WAT3937L08HLHIRQHMP2A3H">'[7]Exploration Cost centres NGS'!$I$10:$J$10</definedName>
    <definedName name="BExY1YEBOSLMID7LURP8QB46AI91">'[7]Exploration Cost centres NGS'!$I$10:$J$10</definedName>
    <definedName name="BExY2FS4LFX9OHOTQT7SJ2PXAC25">'[7]Exploration Cost centres NGS'!$I$10:$J$10</definedName>
    <definedName name="BExY2GDPCZPVU0IQ6IJIB1YQQRQ6">'[7]Exploration Cost centres NGS'!$F$6:$G$6</definedName>
    <definedName name="BExY2GTSZ3VA9TXLY7KW1LIAKJ61">'[7]Exploration Cost centres NGS'!$F$6:$G$6</definedName>
    <definedName name="BExY2IXBR1SGYZH08T7QHKEFS8HA">'[7]Exploration Cost centres NGS'!$F$15</definedName>
    <definedName name="BExY2Q4B5FUDA5VU4VRUHX327QN0">'[7]Exploration Cost centres NGS'!$F$9:$G$9</definedName>
    <definedName name="BExY3HOSK7YI364K15OX70AVR6F1">'[7]Exploration Cost centres NGS'!$C$15:$D$29</definedName>
    <definedName name="BExY3T89AUR83SOAZZ3OMDEJDQ39">'[7]Exploration Cost centres NGS'!$F$10:$G$10</definedName>
    <definedName name="BExY4MG771JQ84EMIVB6HQGGHZY7">'[7]Exploration Cost centres NGS'!$H$2:$I$2</definedName>
    <definedName name="BExY4PWCSFB8P3J3TBQB2MD67263">'[7]Exploration Cost centres NGS'!$I$8:$J$8</definedName>
    <definedName name="BExY4RZW3KK11JLYBA4DWZ92M6LQ">'[7]Exploration Cost centres NGS'!$I$11:$J$11</definedName>
    <definedName name="BExY4XOVTTNVZ577RLIEC7NZQFIX">'[7]Exploration Cost centres NGS'!$F$7:$G$7</definedName>
    <definedName name="BExY50JAF5CG01GTHAUS7I4ZLUDC">'[7]Exploration Cost centres NGS'!$I$8:$J$8</definedName>
    <definedName name="BExY53J7EXFEOFTRNAHLK7IH3ACB">'[7]Exploration Cost centres NGS'!$F$8:$G$8</definedName>
    <definedName name="BExY5515SJTJS3VM80M3YYR0WF37">'[7]Exploration Cost centres NGS'!$F$15:$G$16</definedName>
    <definedName name="BExY5515WE39FQ3EG5QHG67V9C0O">'[7]Exploration Cost centres NGS'!$F$11:$G$11</definedName>
    <definedName name="BExY5986WNAD8NFCPXC9TVLBU4FG">'[7]Exploration Cost centres NGS'!$K$2</definedName>
    <definedName name="BExY5DF9MS25IFNWGJ1YAS5MDN8R">'[7]Exploration Cost centres NGS'!$K$2</definedName>
    <definedName name="BExY5ERVGL3UM2MGT8LJ0XPKTZEK">'[7]Exploration Cost centres NGS'!$I$7:$J$7</definedName>
    <definedName name="BExY5EX6NJFK8W754ZVZDN5DS04K">'[7]Exploration Cost centres NGS'!$I$6:$J$6</definedName>
    <definedName name="BExY5S3XD1NJT109CV54IFOHVLQ6">'[7]Exploration Cost centres NGS'!$F$9:$G$9</definedName>
    <definedName name="BExY5TB2VAI3GHKCPXMCVIOM8B8W">'[7]Exploration Cost centres NGS'!$I$11:$J$11</definedName>
    <definedName name="BExY6KVS1MMZ2R34PGEFR2BMTU9W">'[7]Exploration Cost centres NGS'!$I$11:$J$11</definedName>
    <definedName name="BExY6Q9YY7LW745GP7CYOGGSPHGE">'[7]Exploration Cost centres NGS'!$F$6:$G$6</definedName>
    <definedName name="BExZIA3C8LKJTEH3MKQ57KJH5TA2">'[7]Exploration Cost centres NGS'!$I$11:$J$11</definedName>
    <definedName name="BExZIIHH3QNQE3GFMHEE4UMHY6WQ">'[7]Exploration Cost centres NGS'!$F$6:$G$6</definedName>
    <definedName name="BExZIYO22G5UXOB42GDLYGVRJ6U7">'[7]Exploration Cost centres NGS'!$F$11:$G$11</definedName>
    <definedName name="BExZJ7I9T8XU4MZRKJ1VVU76V2LZ">'[7]Exploration Cost centres NGS'!$F$15</definedName>
    <definedName name="BExZJMY170JCUU1RWASNZ1HJPRTA">'[7]Exploration Cost centres NGS'!$F$8:$G$8</definedName>
    <definedName name="BExZJOQR77H0P4SUKVYACDCFBBXO">'[7]Exploration Cost centres NGS'!$I$6:$J$6</definedName>
    <definedName name="BExZJS6RG34ODDY9HMZ0O34MEMSB">'[7]Exploration Cost centres NGS'!$I$8:$J$8</definedName>
    <definedName name="BExZK34NR4BAD7HJAP7SQ926UQP3">'[7]Exploration Cost centres NGS'!$F$11:$G$11</definedName>
    <definedName name="BExZK3FGPHH5H771U7D5XY7XBS6E">'[7]Exploration Cost centres NGS'!$E$1</definedName>
    <definedName name="BExZKHYORG3O8C772XPFHM1N8T80">'[7]Exploration Cost centres NGS'!$E$1</definedName>
    <definedName name="BExZKJRF2IRR57DG9CLC7MSHWNNN">'[7]Exploration Cost centres NGS'!$F$8:$G$8</definedName>
    <definedName name="BExZKV5GYXO0X760SBD9TWTIQHGI">'[7]Exploration Cost centres NGS'!$F$10:$G$10</definedName>
    <definedName name="BExZL6E4YVXRUN7ZGF2BIGIXFR8K">'[7]Exploration Cost centres NGS'!$E$1</definedName>
    <definedName name="BExZLGVLMKTPFXG42QYT0PO81G7F">'[7]Exploration Cost centres NGS'!$F$9:$G$9</definedName>
    <definedName name="BExZLKMK7LRK14S09WLMH7MXSQXM">'[7]Exploration Cost centres NGS'!$F$7:$G$7</definedName>
    <definedName name="BExZM7JVLG0W8EG5RBU915U3SKBY">'[7]Exploration Cost centres NGS'!$F$7:$G$7</definedName>
    <definedName name="BExZM85FOVUFF110XMQ9O2ODSJUK">'[7]Exploration Cost centres NGS'!$I$7:$J$7</definedName>
    <definedName name="BExZMF1MMTZ1TA14PZ8ASSU2CBSP">'[7]Exploration Cost centres NGS'!$I$8:$J$8</definedName>
    <definedName name="BExZMKL5YQZD7F0FUCSVFGLPFK52">'[7]Exploration Cost centres NGS'!$F$9:$G$9</definedName>
    <definedName name="BExZMOC3VNZALJM71X2T6FV91GTB">'[7]Exploration Cost centres NGS'!$I$8:$J$8</definedName>
    <definedName name="BExZMXH39OB0I43XEL3K11U3G9PM">'[7]Exploration Cost centres NGS'!$I$6:$J$6</definedName>
    <definedName name="BExZMZQ3RBKDHT5GLFNLS52OSJA0">'[7]Exploration Cost centres NGS'!$F$11:$G$11</definedName>
    <definedName name="BExZN2F7Y2J2L2LN5WZRG949MS4A">'[7]Exploration Cost centres NGS'!$F$6:$G$6</definedName>
    <definedName name="BExZN847WUWKRYTZWG9TCQZJS3OL">'[7]Exploration Cost centres NGS'!$I$6:$J$6</definedName>
    <definedName name="BExZNH3VISFF4NQI11BZDP5IQ7VG">'[7]Exploration Cost centres NGS'!$F$6:$G$6</definedName>
    <definedName name="BExZNJYCFYVMAOI62GB2BABK1ELE">'[7]Exploration Cost centres NGS'!$I$8:$J$8</definedName>
    <definedName name="BExZNV707LIU6Z5H6QI6H67LHTI1">'[7]Exploration Cost centres NGS'!$F$9:$G$9</definedName>
    <definedName name="BExZNVCBKB930QQ9QW7KSGOZ0V1M">'[7]Exploration Cost centres NGS'!$I$9:$J$9</definedName>
    <definedName name="BExZNW8QJ18X0RSGFDWAE9ZSDX39">'[7]Exploration Cost centres NGS'!$H$2:$I$2</definedName>
    <definedName name="BExZNZDWRS6Q40L8OCWFEIVI0A1O">'[7]Exploration Cost centres NGS'!$I$6:$J$6</definedName>
    <definedName name="BExZOBO9NYLGVJQ31LVQ9XS2ZT4N">'[7]Exploration Cost centres NGS'!$I$10:$J$10</definedName>
    <definedName name="BExZOETNB1CJ3Y2RKLI1ZK0S8Z6H">'[7]Exploration Cost centres NGS'!$I$10:$J$10</definedName>
    <definedName name="BExZOL9K1RUXBTLZ6FJ65BIE9G5R">'[7]Exploration Cost centres NGS'!$F$7:$G$7</definedName>
    <definedName name="BExZOREMVSK4E5VSWM838KHUB8AI">'[7]Exploration Cost centres NGS'!$I$6:$J$6</definedName>
    <definedName name="BExZOVR745T5P1KS9NV2PXZPZVRG">'[7]Exploration Cost centres NGS'!$I$11:$J$11</definedName>
    <definedName name="BExZOZSWGLSY2XYVRIS6VSNJDSGD">'[7]Exploration Cost centres NGS'!$I$8:$J$8</definedName>
    <definedName name="BExZP7AIJKLM6C6CSUIIFAHFBNX2">'[7]Exploration Cost centres NGS'!$G$2</definedName>
    <definedName name="BExZPQ0XY507N8FJMVPKCTK8HC9H">'[7]Exploration Cost centres NGS'!$K$2</definedName>
    <definedName name="BExZQ37OVBR25U32CO2YYVPZOMR5">'[7]Exploration Cost centres NGS'!$K$2</definedName>
    <definedName name="BExZQ3IHNAFF2HI20IH754T349LH">'[7]Exploration Cost centres NGS'!$F$7:$G$7</definedName>
    <definedName name="BExZQ3NT7H06VO0AR48WHZULZB93">'[7]Exploration Cost centres NGS'!$I$8:$J$8</definedName>
    <definedName name="BExZQ7PJU07SEJMDX18U9YVDC2GU">'[7]Exploration Cost centres NGS'!$F$6:$G$6</definedName>
    <definedName name="BExZQIHTGHK7OOI2Y2PN3JYBY82I">'[7]Exploration Cost centres NGS'!$E$1</definedName>
    <definedName name="BExZQJJMGU5MHQOILGXGJPAQI5XI">'[7]Exploration Cost centres NGS'!$C$15:$D$29</definedName>
    <definedName name="BExZQXBYEBN28QUH1KOVW6KKA5UM">'[7]Exploration Cost centres NGS'!$F$15</definedName>
    <definedName name="BExZQZKT146WEN8FTVZ7Y5TSB8L5">'[7]Exploration Cost centres NGS'!$C$15:$D$29</definedName>
    <definedName name="BExZR485AKBH93YZ08CMUC3WROED">'[7]Exploration Cost centres NGS'!$I$10:$J$10</definedName>
    <definedName name="BExZR7TL98P2PPUVGIZYR5873DWW">'[7]Exploration Cost centres NGS'!$F$9:$G$9</definedName>
    <definedName name="BExZRGD1603X5ACFALUUDKCD7X48">'[7]Exploration Cost centres NGS'!$I$9:$J$9</definedName>
    <definedName name="BExZRP1X6UVLN1UOLHH5VF4STP1O">'[7]Exploration Cost centres NGS'!$C$15:$D$29</definedName>
    <definedName name="BExZRQ930U6OCYNV00CH5I0Q4LPE">'[7]Exploration Cost centres NGS'!$I$8:$J$8</definedName>
    <definedName name="BExZRW8W514W8OZ72YBONYJ64GXF">'[7]Exploration Cost centres NGS'!$E$1</definedName>
    <definedName name="BExZRWJP2BUVFJPO8U8ATQEP0LZU">'[7]Exploration Cost centres NGS'!$F$15</definedName>
    <definedName name="BExZS2OY9JTSSP01ZQ6V2T2LO5R9">'[7]Exploration Cost centres NGS'!$I$11:$J$11</definedName>
    <definedName name="BExZSI9USDLZAN8LI8M4YYQL24GZ">'[7]Exploration Cost centres NGS'!$F$7:$G$7</definedName>
    <definedName name="BExZSS0LA2JY4ZLJ1Z5YCMLJJZCH">'[7]Exploration Cost centres NGS'!$F$11:$G$11</definedName>
    <definedName name="BExZTAQV2QVSZY5Y3VCCWUBSBW9P">'[7]Exploration Cost centres NGS'!$C$15:$D$29</definedName>
    <definedName name="BExZTHSI2FX56PWRSNX9H5EWTZFO">'[7]Exploration Cost centres NGS'!$F$6:$G$6</definedName>
    <definedName name="BExZTJL3HVBFY139H6CJHEQCT1EL">'[7]Exploration Cost centres NGS'!$F$9:$G$9</definedName>
    <definedName name="BExZTLOL8OPABZI453E0KVNA1GJS">'[7]Exploration Cost centres NGS'!$F$11:$G$11</definedName>
    <definedName name="BExZTT6J3X0TOX0ZY6YPLUVMCW9X">'[7]Exploration Cost centres NGS'!$E$1</definedName>
    <definedName name="BExZTW6ECBRA0BBITWBQ8R93RMCL">'[7]Exploration Cost centres NGS'!$G$2</definedName>
    <definedName name="BExZU2BHYAOKSCBM3C5014ZF6IXS">'[7]Exploration Cost centres NGS'!$H$2:$I$2</definedName>
    <definedName name="BExZU2RMJTXOCS0ROPMYPE6WTD87">'[7]Exploration Cost centres NGS'!$F$7:$G$7</definedName>
    <definedName name="BExZUF7G8FENTJKH9R1XUWXM6CWD">'[7]Exploration Cost centres NGS'!$I$9:$J$9</definedName>
    <definedName name="BExZUNARUJBIZ08VCAV3GEVBIR3D">'[7]Exploration Cost centres NGS'!$I$8:$J$8</definedName>
    <definedName name="BExZUSZT5496UMBP4LFSLTR1GVEW">'[7]Exploration Cost centres NGS'!$I$9:$J$9</definedName>
    <definedName name="BExZUT54340I38GVCV79EL116WR0">'[7]Exploration Cost centres NGS'!$I$11:$J$11</definedName>
    <definedName name="BExZUYDULCX65H9OZ9JHPBNKF3MI">'[7]Exploration Cost centres NGS'!$F$7:$G$7</definedName>
    <definedName name="BExZV2QD5ZDK3AGDRULLA7JB46C3">'[7]Exploration Cost centres NGS'!$F$8:$G$8</definedName>
    <definedName name="BExZVBQ29OM0V8XAL3HL0JIM0MMU">'[7]Exploration Cost centres NGS'!$I$9:$J$9</definedName>
    <definedName name="BExZVEPYS6HYXG8RN9GMWZTHDEMK">'[7]Exploration Cost centres NGS'!$F$10:$G$10</definedName>
    <definedName name="BExZVLM4T9ORS4ZWHME46U4Q103C">'[7]Exploration Cost centres NGS'!$I$10:$J$10</definedName>
    <definedName name="BExZVM7OZWPPRH5YQW50EYMMIW1A">'[7]Exploration Cost centres NGS'!$I$6:$J$6</definedName>
    <definedName name="BExZVPYGX2C5OSHMZ6F0KBKZ6B1S">'[7]Exploration Cost centres NGS'!$H$2:$I$2</definedName>
    <definedName name="BExZW5UARC8W9AQNLJX2I5WQWS5F">'[7]Exploration Cost centres NGS'!$I$9:$J$9</definedName>
    <definedName name="BExZW7HRGN6A9YS41KI2B2UUMJ7X">'[7]Exploration Cost centres NGS'!$I$7:$J$7</definedName>
    <definedName name="BExZW8ZPNV43UXGOT98FDNIBQHZY">'[7]Exploration Cost centres NGS'!$I$11:$J$11</definedName>
    <definedName name="BExZWKZ5N3RDXU8MZ8HQVYYD8O0F">'[7]Exploration Cost centres NGS'!$F$6:$G$6</definedName>
    <definedName name="BExZWSMC9T48W74GFGQCIUJ8ZPP3">'[7]Exploration Cost centres NGS'!$G$2:$H$2</definedName>
    <definedName name="BExZWUF2V4HY3HI8JN9ZVPRWK1H3">'[7]Exploration Cost centres NGS'!$I$9:$J$9</definedName>
    <definedName name="BExZWX45URTK9KYDJHEXL1OTZ833">'[7]Exploration Cost centres NGS'!$I$9:$J$9</definedName>
    <definedName name="BExZX0EWQEZO86WDAD9A4EAEZ012">'[7]Exploration Cost centres NGS'!$F$9:$G$9</definedName>
    <definedName name="BExZX2T6ZT2DZLYSDJJBPVIT5OK2">'[7]Exploration Cost centres NGS'!$I$10:$J$10</definedName>
    <definedName name="BExZXOJDELULNLEH7WG0OYJT0NJ4">'[7]Exploration Cost centres NGS'!$I$6:$J$6</definedName>
    <definedName name="BExZXOOTRNUK8LGEAZ8ZCFW9KXQ1">'[7]Exploration Cost centres NGS'!$J$2:$K$2</definedName>
    <definedName name="BExZXT6JOXNKEDU23DKL8XZAJZIH">'[7]Exploration Cost centres NGS'!$I$8:$J$8</definedName>
    <definedName name="BExZXUTYW1HWEEZ1LIX4OQWC7HL1">'[7]Exploration Cost centres NGS'!$F$9:$G$9</definedName>
    <definedName name="BExZXY4NKQL9QD76YMQJ15U1C2G8">'[7]Exploration Cost centres NGS'!$I$11:$J$11</definedName>
    <definedName name="BExZXYQ7U5G08FQGUIGYT14QCBOF">'[7]Exploration Cost centres NGS'!$F$9:$G$9</definedName>
    <definedName name="BExZY02V77YJBMODJSWZOYCMPS5X">'[7]Exploration Cost centres NGS'!$E$1</definedName>
    <definedName name="BExZY49QRZIR6CA41LFA9LM6EULU">'[7]Exploration Cost centres NGS'!$F$7:$G$7</definedName>
    <definedName name="BExZZ2FQA9A8C7CJKMEFQ9VPSLCE">'[7]Exploration Cost centres NGS'!$G$2</definedName>
    <definedName name="BExZZCHAVHW8C2H649KRGVQ0WVRT">'[7]Exploration Cost centres NGS'!$I$9:$J$9</definedName>
    <definedName name="BExZZTK54OTLF2YB68BHGOS27GEN">'[7]Exploration Cost centres NGS'!$E$1</definedName>
    <definedName name="BExZZXB3JQQG4SIZS4MRU6NNW7HI">'[7]Exploration Cost centres NGS'!$F$7:$G$7</definedName>
    <definedName name="BExZZZEMIIFKMLLV4DJKX5TB9R5V">'[7]Exploration Cost centres NGS'!$C$15:$D$29</definedName>
    <definedName name="bkd">{"'Sheet1'!$L$16"}</definedName>
    <definedName name="bkd_1">{"'Sheet1'!$L$16"}</definedName>
    <definedName name="bkd_2">{"'Sheet1'!$L$16"}</definedName>
    <definedName name="bn">{"'Sheet1'!$L$16"}</definedName>
    <definedName name="bn_1">{"'Sheet1'!$L$16"}</definedName>
    <definedName name="bn_2">{"'Sheet1'!$L$16"}</definedName>
    <definedName name="Button_3">"vlvlist_vlvlist_List"</definedName>
    <definedName name="Button_41">"Master_Project_Cost_Format_Variance_Analysis_List"</definedName>
    <definedName name="cable_bm">{"'rev8'!$B$3:$S$203"}</definedName>
    <definedName name="cable_bm_1">{"'rev8'!$B$3:$S$203"}</definedName>
    <definedName name="cable_bm_2">{"'rev8'!$B$3:$S$203"}</definedName>
    <definedName name="CBWorkbookPriority">-137636945</definedName>
    <definedName name="ccc">{#N/A,#N/A,TRUE,"Смета на пасс. обор. №1"}</definedName>
    <definedName name="CLIENT1">"Texte 153"</definedName>
    <definedName name="CLIENT2">"Texte 154"</definedName>
    <definedName name="CLVC3">0.1</definedName>
    <definedName name="cn">{"'Sheet1'!$L$16"}</definedName>
    <definedName name="cn_1">{"'Sheet1'!$L$16"}</definedName>
    <definedName name="cn_2">{"'Sheet1'!$L$16"}</definedName>
    <definedName name="COMPARE">{"Table A,pg 1",#N/A,FALSE,"Table A-Prov GUR";"Table A,pg 2",#N/A,FALSE,"Table A-Prov GUR"}</definedName>
    <definedName name="ConditionalColumnRange">"$L$7:$Y$1971"</definedName>
    <definedName name="ConditionalRowRange">1</definedName>
    <definedName name="Cons_equip">{"'장비'!$A$3:$M$12"}</definedName>
    <definedName name="Cons_equip_1">{"'장비'!$A$3:$M$12"}</definedName>
    <definedName name="Cons_equip_2">{"'장비'!$A$3:$M$12"}</definedName>
    <definedName name="CurveDropDown">"Drop Down 1"</definedName>
    <definedName name="DATE1">"Texte 162"</definedName>
    <definedName name="DATE2">"Texte 174"</definedName>
    <definedName name="DATE3">"Texte 168"</definedName>
    <definedName name="DATE4">"Texte 180"</definedName>
    <definedName name="ddd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ddddddddddddddddddddddd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dddddddddddddddddddddddd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dddddddddddddddddddddddddd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ddddddddddddddddddddddddddddd">{#N/A,#N/A,FALSE,"Aging Summary";#N/A,#N/A,FALSE,"Ratio Analysis";#N/A,#N/A,FALSE,"Test 120 Day Accts";#N/A,#N/A,FALSE,"Tickmarks"}</definedName>
    <definedName name="dddf">{"'장비'!$A$3:$M$12"}</definedName>
    <definedName name="dddf_1">{"'장비'!$A$3:$M$12"}</definedName>
    <definedName name="dddf_2">{"'장비'!$A$3:$M$12"}</definedName>
    <definedName name="deleteme">{"'Industry'!$A$1:$M$85","'Industry'!$I$20:$M$45"}</definedName>
    <definedName name="DeprOpen_СоцМашПроч">[8]XLR_NoRangeSheet!$AA$9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faf">{"'장비'!$A$3:$M$12"}</definedName>
    <definedName name="dfaf_1">{"'장비'!$A$3:$M$12"}</definedName>
    <definedName name="dfaf_2">{"'장비'!$A$3:$M$12"}</definedName>
    <definedName name="dfdf">{"'장비'!$A$3:$M$12"}</definedName>
    <definedName name="dfdf_1">{"'장비'!$A$3:$M$12"}</definedName>
    <definedName name="dfdf_2">{"'장비'!$A$3:$M$12"}</definedName>
    <definedName name="dfg">{#N/A,#N/A,FALSE,"Field Rates";#N/A,#N/A,FALSE,"Field Sum"}</definedName>
    <definedName name="dfgdfg">{#N/A,#N/A,FALSE,"HO Rates";#N/A,#N/A,FALSE,"HO Sum"}</definedName>
    <definedName name="dfgdfggfdfgdfg">{#N/A,#N/A,FALSE,"HO Sum";#N/A,#N/A,FALSE,"HO Rates";#N/A,#N/A,FALSE,"Co Sum";#N/A,#N/A,FALSE,"Clients Office";#N/A,#N/A,FALSE,"Field Sum";#N/A,#N/A,FALSE,"Field Rates"}</definedName>
    <definedName name="dialog_open">"Dialog Frame 1"</definedName>
    <definedName name="DNM">{"GAS FRONT",#N/A,TRUE,"FRONT";"NATURAL GAS",#N/A,TRUE,"NOI";"GAS PROD MGN",#N/A,TRUE,"PROD MGN";"NAT GAS COGS",#N/A,TRUE,"COGS";"GAS EXP",#N/A,TRUE,"EXPENSES";"GAS VOLS",#N/A,TRUE,"VOLUME"}</definedName>
    <definedName name="Document_array">{"Book1","tender-form0110-final.xls"}</definedName>
    <definedName name="Document_array_1">{"Book1","tender-form0110-final.xls"}</definedName>
    <definedName name="Document_array_2">{"Book1","tender-form0110-final.xls"}</definedName>
    <definedName name="DohodDengi">#REF!</definedName>
    <definedName name="dw">{"'Sheet1'!$L$16"}</definedName>
    <definedName name="dw_1">{"'Sheet1'!$L$16"}</definedName>
    <definedName name="dw_2">{"'Sheet1'!$L$16"}</definedName>
    <definedName name="EDF">{"'장비'!$A$3:$M$12"}</definedName>
    <definedName name="EDF_1">{"'장비'!$A$3:$M$12"}</definedName>
    <definedName name="EDF_2">{"'장비'!$A$3:$M$12"}</definedName>
    <definedName name="EDFQDE">{"'장비'!$A$3:$M$12"}</definedName>
    <definedName name="engjineering">{"'con_010'!$A$1:$AN$63"}</definedName>
    <definedName name="er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ErrName301948010">{0,0,0,0;0,0,0,0;0,0,0,0;0,0,0,0;0,0,0,0;0,0,0,0}</definedName>
    <definedName name="ErrName301948010_1">{0,0,0,0;0,0,0,0;0,0,0,0;0,0,0,0;0,0,0,0;0,0,0,0}</definedName>
    <definedName name="ErrName301948010_2">{0,0,0,0;0,0,0,0;0,0,0,0;0,0,0,0;0,0,0,0;0,0,0,0}</definedName>
    <definedName name="ert">{"'장비'!$A$3:$M$12"}</definedName>
    <definedName name="ert_1">{"'장비'!$A$3:$M$12"}</definedName>
    <definedName name="ert_2">{"'장비'!$A$3:$M$12"}</definedName>
    <definedName name="erty">{"'장비'!$A$3:$M$12"}</definedName>
    <definedName name="erty_1">{"'장비'!$A$3:$M$12"}</definedName>
    <definedName name="erty_2">{"'장비'!$A$3:$M$12"}</definedName>
    <definedName name="esp">{"'CATALO(8)'!$B$1:$G$49"}</definedName>
    <definedName name="esp_1">{"'CATALO(8)'!$B$1:$G$49"}</definedName>
    <definedName name="esp_2">{"'CATALO(8)'!$B$1:$G$49"}</definedName>
    <definedName name="et">{"'Sheet1'!$L$16"}</definedName>
    <definedName name="et_1">{"'Sheet1'!$L$16"}</definedName>
    <definedName name="et_2">{"'Sheet1'!$L$16"}</definedName>
    <definedName name="ETABLI1">"Texte 164"</definedName>
    <definedName name="ETABLI2">"Texte 176"</definedName>
    <definedName name="ETABLI3">"Texte 170"</definedName>
    <definedName name="ETABLI4">"Texte 182"</definedName>
    <definedName name="EURO">50</definedName>
    <definedName name="EV__DECIMALSYMBOL__">","</definedName>
    <definedName name="EV__EVCOM_OPTIONS__">8</definedName>
    <definedName name="EV__EXPOPTIONS__">1</definedName>
    <definedName name="EV__LASTREFTIME__">"(GMT+03:00)28.07.2011 11:13:46"</definedName>
    <definedName name="EV__LOCKEDCVW__LEGAL">"C00,COA,ACTUAL,DUH00,C1101580,F00000,BYR,I0000000,O000,R00,S00,2010.DEC,YTD,"</definedName>
    <definedName name="EV__LOCKEDCVW__OWNERSHIP">"ACTUAL,H0000000,G3000000,I0000000,PGROUP,2008.DEC,PERIODIC,"</definedName>
    <definedName name="EV__LOCKEDCVW__RATE">"ACTUAL,EUR,CR,GLOBAL,2008.DEC,PERIODIC,"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134217735</definedName>
    <definedName name="EV__WBVERSION__">0</definedName>
    <definedName name="EV__WSINFO__">100211</definedName>
    <definedName name="fd">{"'Sheet1'!$L$16"}</definedName>
    <definedName name="fd_1">{"'Sheet1'!$L$16"}</definedName>
    <definedName name="fd_2">{"'Sheet1'!$L$16"}</definedName>
    <definedName name="fdgk">{"'Sheet1'!$L$16"}</definedName>
    <definedName name="fdgk_1">{"'Sheet1'!$L$16"}</definedName>
    <definedName name="fdgk_2">{"'Sheet1'!$L$16"}</definedName>
    <definedName name="fe">{"'Sheet1'!$L$16"}</definedName>
    <definedName name="fe_1">{"'Sheet1'!$L$16"}</definedName>
    <definedName name="fe_2">{"'Sheet1'!$L$16"}</definedName>
    <definedName name="Fence">{"Book1","tender-form0110-final.xls"}</definedName>
    <definedName name="Fence_1">{"Book1","tender-form0110-final.xls"}</definedName>
    <definedName name="Fence_2">{"Book1","tender-form0110-final.xls"}</definedName>
    <definedName name="FF">[9]INPUT_TABLE!$A$4:$A$27</definedName>
    <definedName name="ffaaaaf">{"'장비'!$A$3:$M$12"}</definedName>
    <definedName name="ffaaaaf_1">{"'장비'!$A$3:$M$12"}</definedName>
    <definedName name="ffaaaaf_2">{"'장비'!$A$3:$M$12"}</definedName>
    <definedName name="fffffffg">{"'장비'!$A$3:$M$12"}</definedName>
    <definedName name="fffffffg_1">{"'장비'!$A$3:$M$12"}</definedName>
    <definedName name="fffffffg_2">{"'장비'!$A$3:$M$12"}</definedName>
    <definedName name="ffgfg">{"'장비'!$A$3:$M$12"}</definedName>
    <definedName name="ffgfg_1">{"'장비'!$A$3:$M$12"}</definedName>
    <definedName name="ffgfg_2">{"'장비'!$A$3:$M$12"}</definedName>
    <definedName name="FILLED">#REF!</definedName>
    <definedName name="Flter">#REF!</definedName>
    <definedName name="fs">{"'Sheet1'!$L$16"}</definedName>
    <definedName name="fs_1">{"'Sheet1'!$L$16"}</definedName>
    <definedName name="fs_2">{"'Sheet1'!$L$16"}</definedName>
    <definedName name="GA_408">"GA-408"</definedName>
    <definedName name="garyneu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fsahgsdhf">#REF!</definedName>
    <definedName name="ggg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">{"'장비'!$A$3:$M$12"}</definedName>
    <definedName name="gggg_1">{"'장비'!$A$3:$M$12"}</definedName>
    <definedName name="gggg_2">{"'장비'!$A$3:$M$12"}</definedName>
    <definedName name="ggggg">{"'장비'!$A$3:$M$12"}</definedName>
    <definedName name="ggggg_1">{"'장비'!$A$3:$M$12"}</definedName>
    <definedName name="ggggg_2">{"'장비'!$A$3:$M$12"}</definedName>
    <definedName name="gggggg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id">{"'Sheet1'!$L$16"}</definedName>
    <definedName name="gid_1">{"'Sheet1'!$L$16"}</definedName>
    <definedName name="gid_2">{"'Sheet1'!$L$16"}</definedName>
    <definedName name="gj">{"'Sheet1'!$L$16"}</definedName>
    <definedName name="gj_1">{"'Sheet1'!$L$16"}</definedName>
    <definedName name="gj_2">{"'Sheet1'!$L$16"}</definedName>
    <definedName name="gkd">{"'Sheet1'!$L$16"}</definedName>
    <definedName name="gkd_1">{"'Sheet1'!$L$16"}</definedName>
    <definedName name="gkd_2">{"'Sheet1'!$L$16"}</definedName>
    <definedName name="GLAND">{0,0,0,0;0,0,0,0;0,0,0,0;0,0,0,0;0,0,0,0;0,0,0,0}</definedName>
    <definedName name="GLAND_1">{0,0,0,0;0,0,0,0;0,0,0,0;0,0,0,0;0,0,0,0;0,0,0,0}</definedName>
    <definedName name="GLAND_2">{0,0,0,0;0,0,0,0;0,0,0,0;0,0,0,0;0,0,0,0;0,0,0,0}</definedName>
    <definedName name="Header1">IF(COUNTA(#REF!)=0,0,INDEX(#REF!,MATCH(ROW(#REF!),#REF!,TRUE)))+1</definedName>
    <definedName name="Header2">#NAME?</definedName>
    <definedName name="hell">{"Area1",#N/A,FALSE,"OREWACC";"Area2",#N/A,FALSE,"OREWACC"}</definedName>
    <definedName name="helleon">{"Area1",#N/A,FALSE,"OREWACC";"Area2",#N/A,FALSE,"OREWACC"}</definedName>
    <definedName name="Hello">{"Area1",#N/A,FALSE,"OREWACC";"Area2",#N/A,FALSE,"OREWACC"}</definedName>
    <definedName name="hello1">{"Area1",#N/A,FALSE,"OREWACC";"Area2",#N/A,FALSE,"OREWACC"}</definedName>
    <definedName name="hello2">{"Area1",#N/A,FALSE,"OREWACC";"Area2",#N/A,FALSE,"OREWACC"}</definedName>
    <definedName name="hgj">{#N/A,#N/A,FALSE,"Акт-Смета"}</definedName>
    <definedName name="hhh">{"'장비'!$A$3:$M$12"}</definedName>
    <definedName name="hhh_1">{"'장비'!$A$3:$M$12"}</definedName>
    <definedName name="hhh_2">{"'장비'!$A$3:$M$12"}</definedName>
    <definedName name="HI">"Oval 139"</definedName>
    <definedName name="hj">{"'Sheet1'!$L$16"}</definedName>
    <definedName name="hj_1">{"'Sheet1'!$L$16"}</definedName>
    <definedName name="hj_2">{"'Sheet1'!$L$16"}</definedName>
    <definedName name="HTML">{"'장비'!$A$3:$M$12"}</definedName>
    <definedName name="HTML_1">{"'장비'!$A$3:$M$12"}</definedName>
    <definedName name="HTML_2">{"'장비'!$A$3:$M$12"}</definedName>
    <definedName name="HTML_CodePage">950</definedName>
    <definedName name="HTML_CodePage_1">949</definedName>
    <definedName name="HTML_Control">{"'Industry'!$A$1:$M$85","'Industry'!$I$20:$M$45"}</definedName>
    <definedName name="HTML_Control_1">{"'Appendix 3 Currency'!$A$1:$U$96"}</definedName>
    <definedName name="HTML_Control_1_1">{"'Appendix 3 Currency'!$A$1:$U$96"}</definedName>
    <definedName name="HTML_Control_1_2">{"'Appendix 3 Currency'!$A$1:$U$96"}</definedName>
    <definedName name="HTML_Control_1_3">{"'Appendix 3 Currency'!$A$1:$U$96"}</definedName>
    <definedName name="HTML_Control_1_4">{"'Appendix 3 Currency'!$A$1:$U$96"}</definedName>
    <definedName name="HTML_Control_1_5">{"'Appendix 3 Currency'!$A$1:$U$96"}</definedName>
    <definedName name="HTML_Control_2">{"'Appendix 3 Currency'!$A$1:$U$96"}</definedName>
    <definedName name="HTML_Control_2_1">{"'Appendix 3 Currency'!$A$1:$U$96"}</definedName>
    <definedName name="HTML_Control_2_2">{"'Appendix 3 Currency'!$A$1:$U$96"}</definedName>
    <definedName name="HTML_Control_2_3">{"'Appendix 3 Currency'!$A$1:$U$96"}</definedName>
    <definedName name="HTML_Control_2_4">{"'Appendix 3 Currency'!$A$1:$U$96"}</definedName>
    <definedName name="HTML_Control_2_5">{"'Appendix 3 Currency'!$A$1:$U$96"}</definedName>
    <definedName name="HTML_Control_3">{"'Appendix 3 Currency'!$A$1:$U$96"}</definedName>
    <definedName name="HTML_Control_3_1">{"'Appendix 3 Currency'!$A$1:$U$96"}</definedName>
    <definedName name="HTML_Control_3_2">{"'Appendix 3 Currency'!$A$1:$U$96"}</definedName>
    <definedName name="HTML_Control_3_3">{"'Appendix 3 Currency'!$A$1:$U$96"}</definedName>
    <definedName name="HTML_Control_3_4">{"'Appendix 3 Currency'!$A$1:$U$96"}</definedName>
    <definedName name="HTML_Control_3_5">{"'Appendix 3 Currency'!$A$1:$U$96"}</definedName>
    <definedName name="HTML_Control_4">{"'Appendix 3 Currency'!$A$1:$U$96"}</definedName>
    <definedName name="HTML_Control_4_1">{"'Appendix 3 Currency'!$A$1:$U$96"}</definedName>
    <definedName name="HTML_Control_4_2">{"'Appendix 3 Currency'!$A$1:$U$96"}</definedName>
    <definedName name="HTML_Control_4_3">{"'Appendix 3 Currency'!$A$1:$U$96"}</definedName>
    <definedName name="HTML_Control_4_4">{"'Appendix 3 Currency'!$A$1:$U$96"}</definedName>
    <definedName name="HTML_Control_4_5">{"'Appendix 3 Currency'!$A$1:$U$96"}</definedName>
    <definedName name="HTML_Control_5">{"'Appendix 3 Currency'!$A$1:$U$96"}</definedName>
    <definedName name="HTML_Control_5_1">{"'Appendix 3 Currency'!$A$1:$U$96"}</definedName>
    <definedName name="HTML_Control_5_2">{"'Appendix 3 Currency'!$A$1:$U$96"}</definedName>
    <definedName name="HTML_Control_5_3">{"'Appendix 3 Currency'!$A$1:$U$96"}</definedName>
    <definedName name="HTML_Control_5_4">{"'Appendix 3 Currency'!$A$1:$U$96"}</definedName>
    <definedName name="HTML_Control_5_5">{"'Appendix 3 Currency'!$A$1:$U$96"}</definedName>
    <definedName name="HTML_Description">""</definedName>
    <definedName name="HTML_Email">""</definedName>
    <definedName name="HTML_Header">"Sheet1"</definedName>
    <definedName name="HTML_Header_1">"장비"</definedName>
    <definedName name="HTML_LastUpdate">"2000/9/14"</definedName>
    <definedName name="HTML_LastUpdate_1">"97-08-05"</definedName>
    <definedName name="HTML_LineAfter">FALSE</definedName>
    <definedName name="HTML_LineBefore">FALSE</definedName>
    <definedName name="HTML_Name">"J.C.WONG"</definedName>
    <definedName name="HTML_Name_1">"이진화"</definedName>
    <definedName name="HTML_OBDlg2">TRUE</definedName>
    <definedName name="HTML_OBDlg3">TRUE</definedName>
    <definedName name="HTML_OBDlg4">TRUE</definedName>
    <definedName name="HTML_OS">0</definedName>
    <definedName name="HTML_PathFile">"C:\2689\Q\國內\00q3961台化龍德PTA3建造\MyHTML.htm"</definedName>
    <definedName name="HTML_PathFile_1">"C:\My Documents\MyHTML.htm"</definedName>
    <definedName name="HTML_PathTemplate">"C:\My Documents\Const_Sov_REV\HTMLTemp.htm"</definedName>
    <definedName name="HTML_Title">"00Q3961-SUM"</definedName>
    <definedName name="HTML_Title_1">"가산동미라보"</definedName>
    <definedName name="HTML1_10">"Marihan@hitel.kol.co.kr"</definedName>
    <definedName name="HTML1_11">1</definedName>
    <definedName name="HTML1_2">1</definedName>
    <definedName name="HTML1_3">"엑셀 프로젝트"</definedName>
    <definedName name="HTML1_4">"인터넷 어시스턴트"</definedName>
    <definedName name="HTML1_6">1</definedName>
    <definedName name="HTML1_7">1</definedName>
    <definedName name="HTML1_8">"97-10-09"</definedName>
    <definedName name="HTML1_9">"김종완/어린왕자"</definedName>
    <definedName name="HTMLCount">1</definedName>
    <definedName name="huy">{"'Sheet1'!$L$16"}</definedName>
    <definedName name="huy_1">{"'Sheet1'!$L$16"}</definedName>
    <definedName name="huy_2">{"'Sheet1'!$L$16"}</definedName>
    <definedName name="I">"Texte 149"</definedName>
    <definedName name="ie">{"'Sheet1'!$L$16"}</definedName>
    <definedName name="ie_1">{"'Sheet1'!$L$16"}</definedName>
    <definedName name="ie_2">{"'Sheet1'!$L$16"}</definedName>
    <definedName name="iii">{#N/A,#N/A,FALSE,"Шаблон_Спец1"}</definedName>
    <definedName name="iop">{"'Sheet1'!$L$16"}</definedName>
    <definedName name="iop_1">{"'Sheet1'!$L$16"}</definedName>
    <definedName name="iop_2">{"'Sheet1'!$L$16"}</definedName>
    <definedName name="is">{"'Sheet1'!$L$16"}</definedName>
    <definedName name="is_1">{"'Sheet1'!$L$16"}</definedName>
    <definedName name="is_2">{"'Sheet1'!$L$16"}</definedName>
    <definedName name="it">{"'Sheet1'!$L$16"}</definedName>
    <definedName name="it_1">{"'Sheet1'!$L$16"}</definedName>
    <definedName name="it_2">{"'Sheet1'!$L$16"}</definedName>
    <definedName name="j">{"IASTrail",#N/A,FALSE,"IAS"}</definedName>
    <definedName name="JB">{0,0,0,0;0,0,0,0;0,0,0,0;0,0,0,0;0,0,0,0;0,0,0,0}</definedName>
    <definedName name="JB_1">{0,0,0,0;0,0,0,0;0,0,0,0;0,0,0,0;0,0,0,0;0,0,0,0}</definedName>
    <definedName name="JB_2">{0,0,0,0;0,0,0,0;0,0,0,0;0,0,0,0;0,0,0,0;0,0,0,0}</definedName>
    <definedName name="JGJFJDJDJDJS">{"'장비'!$A$3:$M$12"}</definedName>
    <definedName name="Jip">{"'CATALO(8)'!$B$1:$G$49"}</definedName>
    <definedName name="Jip_1">{"'CATALO(8)'!$B$1:$G$49"}</definedName>
    <definedName name="Jip_2">{"'CATALO(8)'!$B$1:$G$49"}</definedName>
    <definedName name="jjj">{"'CATALO(8)'!$B$1:$G$49"}</definedName>
    <definedName name="jjj_1">{"'CATALO(8)'!$B$1:$G$49"}</definedName>
    <definedName name="jjj_2">{"'CATALO(8)'!$B$1:$G$49"}</definedName>
    <definedName name="KDJU">{"'장비'!$A$3:$M$12"}</definedName>
    <definedName name="KDJU_1">{"'장비'!$A$3:$M$12"}</definedName>
    <definedName name="KDJU_2">{"'장비'!$A$3:$M$12"}</definedName>
    <definedName name="kjdljfaldjfa">'[7]Exploration Cost centres NGS'!$I$10:$J$10</definedName>
    <definedName name="kjkgh">{"'장비'!$A$3:$M$12"}</definedName>
    <definedName name="kjkgh_1">{"'장비'!$A$3:$M$12"}</definedName>
    <definedName name="kjkgh_2">{"'장비'!$A$3:$M$12"}</definedName>
    <definedName name="kljlkjlj">'[7]Exploration Cost centres NGS'!$F$8:$G$8</definedName>
    <definedName name="ldfgdfg">{"Area1",#N/A,FALSE,"OREWACC";"Area2",#N/A,FALSE,"OREWACC"}</definedName>
    <definedName name="level1">{"'장비'!$A$3:$M$12"}</definedName>
    <definedName name="level1_1">{"'장비'!$A$3:$M$12"}</definedName>
    <definedName name="level1_2">{"'장비'!$A$3:$M$12"}</definedName>
    <definedName name="lf">#REF!</definedName>
    <definedName name="LIEU1">"Texte 157"</definedName>
    <definedName name="LIEU2">"Texte 158"</definedName>
    <definedName name="light">"Picture 1"</definedName>
    <definedName name="limcount">1</definedName>
    <definedName name="lkj">{"print95",#N/A,FALSE,"1995E.XLS";"print96",#N/A,FALSE,"1996E.XLS"}</definedName>
    <definedName name="lkjhk">{"IASTrail",#N/A,FALSE,"IAS"}</definedName>
    <definedName name="lkjl">'[7]Exploration Cost centres NGS'!$I$7:$J$7</definedName>
    <definedName name="lkjljlj">#REF!</definedName>
    <definedName name="LLLL">{"'장비'!$A$3:$M$12"}</definedName>
    <definedName name="manpower">{"'con_010'!$A$1:$AN$63"}</definedName>
    <definedName name="MEWarning">1</definedName>
    <definedName name="mm">{"'장비'!$A$3:$M$12"}</definedName>
    <definedName name="mm_1">{"'장비'!$A$3:$M$12"}</definedName>
    <definedName name="mm_2">{"'장비'!$A$3:$M$12"}</definedName>
    <definedName name="mmmm">{"'장비'!$A$3:$M$12"}</definedName>
    <definedName name="mmmm_1">{"'장비'!$A$3:$M$12"}</definedName>
    <definedName name="mmmm_2">{"'장비'!$A$3:$M$12"}</definedName>
    <definedName name="mn">{"'Sheet1'!$L$16"}</definedName>
    <definedName name="mn_1">{"'Sheet1'!$L$16"}</definedName>
    <definedName name="mn_2">{"'Sheet1'!$L$16"}</definedName>
    <definedName name="new">{"'CATALO(8)'!$B$1:$G$49"}</definedName>
    <definedName name="new_1">{"'CATALO(8)'!$B$1:$G$49"}</definedName>
    <definedName name="new_2">{"'CATALO(8)'!$B$1:$G$49"}</definedName>
    <definedName name="NoPlan">"Texte 148"</definedName>
    <definedName name="oil">{"Table A,pg 1",#N/A,FALSE,"Table A-Prov GUR";"Table A,pg 2",#N/A,FALSE,"Table A-Prov GUR"}</definedName>
    <definedName name="oooo">{"TOTAL SALES AND MKT",#N/A,FALSE,"NOI";"TOTAL RETAIL",#N/A,FALSE,"NOI";"TOTAL COMMERCIAL",#N/A,FALSE,"NOI"}</definedName>
    <definedName name="Org">{"'CATALO(8)'!$B$1:$G$49"}</definedName>
    <definedName name="Org_1">{"'CATALO(8)'!$B$1:$G$49"}</definedName>
    <definedName name="Org_2">{"'CATALO(8)'!$B$1:$G$49"}</definedName>
    <definedName name="ORPL">"""ORPL"""</definedName>
    <definedName name="OTHERS">{"'장비'!$A$3:$M$12"}</definedName>
    <definedName name="OTHERS_1">{"'장비'!$A$3:$M$12"}</definedName>
    <definedName name="OTHERS_2">{"'장비'!$A$3:$M$12"}</definedName>
    <definedName name="PAGE">"Texte 150"</definedName>
    <definedName name="Piping">{"'CATALO(8)'!$B$1:$G$49"}</definedName>
    <definedName name="Piping_1">{"'CATALO(8)'!$B$1:$G$49"}</definedName>
    <definedName name="Piping_2">{"'CATALO(8)'!$B$1:$G$49"}</definedName>
    <definedName name="pozadina">'[7]Exploration Cost centres NGS'!$F$7:$G$7</definedName>
    <definedName name="PPP">{"'장비'!$A$3:$M$12"}</definedName>
    <definedName name="PQ점수">"Dialog Frame 1"</definedName>
    <definedName name="preecha">{"'CATALO(8)'!$B$1:$G$49"}</definedName>
    <definedName name="preecha_1">{"'CATALO(8)'!$B$1:$G$49"}</definedName>
    <definedName name="preecha_2">{"'CATALO(8)'!$B$1:$G$49"}</definedName>
    <definedName name="Preecha1">{"'CATALO(8)'!$B$1:$G$49"}</definedName>
    <definedName name="Preecha1_1">{"'CATALO(8)'!$B$1:$G$49"}</definedName>
    <definedName name="Preecha1_2">{"'CATALO(8)'!$B$1:$G$49"}</definedName>
    <definedName name="prob1">'[7]Exploration Cost centres NGS'!$F$10:$G$10</definedName>
    <definedName name="proba">'[7]Exploration Cost centres NGS'!$I$9:$J$9</definedName>
    <definedName name="PROBASIC">#REF!</definedName>
    <definedName name="pump">{"'장비'!$A$3:$M$12"}</definedName>
    <definedName name="PumpSelection">"Label 10"</definedName>
    <definedName name="q">{#N/A,#N/A,FALSE,"Шаблон_Спец1"}</definedName>
    <definedName name="Q4_accounts">{#N/A,#N/A,FALSE,"1 квартал"}</definedName>
    <definedName name="QEFQEF">{"'장비'!$A$3:$M$12"}</definedName>
    <definedName name="QEFQEF_1">{"'장비'!$A$3:$M$12"}</definedName>
    <definedName name="QEFQEF_2">{"'장비'!$A$3:$M$12"}</definedName>
    <definedName name="qqqqq">#REF!</definedName>
    <definedName name="qqqqqqqqqqqqqqqqqq">{"Area1",#N/A,FALSE,"OREWACC";"Area2",#N/A,FALSE,"OREWACC"}</definedName>
    <definedName name="QT_TT_E0" xml:space="preserve"> '[10]13.2.8 El (PS-1600.01)'!$R$9:$R$468</definedName>
    <definedName name="QUANTITY_UNIT">[9]INPUT_TABLE!$K$4:$K$7</definedName>
    <definedName name="qw">{"IASTrail",#N/A,FALSE,"IAS"}</definedName>
    <definedName name="qw_1">{"'장비'!$A$3:$M$12"}</definedName>
    <definedName name="qw_1_1">{"'장비'!$A$3:$M$12"}</definedName>
    <definedName name="qw_1_2">{"'장비'!$A$3:$M$12"}</definedName>
    <definedName name="qw_1_3">{"'장비'!$A$3:$M$12"}</definedName>
    <definedName name="qw_1_4">{"'장비'!$A$3:$M$12"}</definedName>
    <definedName name="qw_1_5">{"'장비'!$A$3:$M$12"}</definedName>
    <definedName name="qw_2">{"'장비'!$A$3:$M$12"}</definedName>
    <definedName name="qw_2_1">{"'장비'!$A$3:$M$12"}</definedName>
    <definedName name="qw_2_2">{"'장비'!$A$3:$M$12"}</definedName>
    <definedName name="qw_2_3">{"'장비'!$A$3:$M$12"}</definedName>
    <definedName name="qw_2_4">{"'장비'!$A$3:$M$12"}</definedName>
    <definedName name="qw_2_5">{"'장비'!$A$3:$M$12"}</definedName>
    <definedName name="qw_3">{"'장비'!$A$3:$M$12"}</definedName>
    <definedName name="qw_3_1">{"'장비'!$A$3:$M$12"}</definedName>
    <definedName name="qw_3_2">{"'장비'!$A$3:$M$12"}</definedName>
    <definedName name="qw_3_3">{"'장비'!$A$3:$M$12"}</definedName>
    <definedName name="qw_3_4">{"'장비'!$A$3:$M$12"}</definedName>
    <definedName name="qw_3_5">{"'장비'!$A$3:$M$12"}</definedName>
    <definedName name="qw_4">{"'장비'!$A$3:$M$12"}</definedName>
    <definedName name="qw_4_1">{"'장비'!$A$3:$M$12"}</definedName>
    <definedName name="qw_4_2">{"'장비'!$A$3:$M$12"}</definedName>
    <definedName name="qw_4_3">{"'장비'!$A$3:$M$12"}</definedName>
    <definedName name="qw_4_4">{"'장비'!$A$3:$M$12"}</definedName>
    <definedName name="qw_4_5">{"'장비'!$A$3:$M$12"}</definedName>
    <definedName name="qw_5">{"'장비'!$A$3:$M$12"}</definedName>
    <definedName name="qw_5_1">{"'장비'!$A$3:$M$12"}</definedName>
    <definedName name="qw_5_2">{"'장비'!$A$3:$M$12"}</definedName>
    <definedName name="qw_5_3">{"'장비'!$A$3:$M$12"}</definedName>
    <definedName name="qw_5_4">{"'장비'!$A$3:$M$12"}</definedName>
    <definedName name="qw_5_5">{"'장비'!$A$3:$M$12"}</definedName>
    <definedName name="qwe">{"'장비'!$A$3:$M$12"}</definedName>
    <definedName name="qwe_1">{"'장비'!$A$3:$M$12"}</definedName>
    <definedName name="qwe_2">{"'장비'!$A$3:$M$12"}</definedName>
    <definedName name="qwerwerwrr">{#N/A,#N/A,FALSE,"Clients Office";#N/A,#N/A,FALSE,"Co Sum"}</definedName>
    <definedName name="RATE">35</definedName>
    <definedName name="REF_CLIENT1">"Texte 155"</definedName>
    <definedName name="REF_CLIENT2">"Texte 156"</definedName>
    <definedName name="rfq">#REF!</definedName>
    <definedName name="RGR">{"'장비'!$A$3:$M$12"}</definedName>
    <definedName name="RGR_1">{"'장비'!$A$3:$M$12"}</definedName>
    <definedName name="RGR_2">{"'장비'!$A$3:$M$12"}</definedName>
    <definedName name="rid">{"'Sheet1'!$L$16"}</definedName>
    <definedName name="rid_1">{"'Sheet1'!$L$16"}</definedName>
    <definedName name="rid_2">{"'Sheet1'!$L$16"}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sultsUpdateFreq">500</definedName>
    <definedName name="RiskResultsUpdateFreq_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TRUE</definedName>
    <definedName name="RiskUpdateStatFunctions">FALSE</definedName>
    <definedName name="RiskUpdateStatFunctions_1">TRUE</definedName>
    <definedName name="RiskUseDifferentSeedForEachSim">FALSE</definedName>
    <definedName name="RiskUseFixedSeed">FALSE</definedName>
    <definedName name="RiskUseMultipleCPUs">TRUE</definedName>
    <definedName name="RNAO">{"'장비'!$A$3:$M$12"}</definedName>
    <definedName name="RNAO_1">{"'장비'!$A$3:$M$12"}</definedName>
    <definedName name="RNAO_2">{"'장비'!$A$3:$M$12"}</definedName>
    <definedName name="RNSs">#REF!</definedName>
    <definedName name="rtt">{"Area1",#N/A,FALSE,"OREWACC";"Area2",#N/A,FALSE,"OREWACC"}</definedName>
    <definedName name="RTYE">{"'장비'!$A$3:$M$12"}</definedName>
    <definedName name="RTYE_1">{"'장비'!$A$3:$M$12"}</definedName>
    <definedName name="RTYE_2">{"'장비'!$A$3:$M$12"}</definedName>
    <definedName name="rtytry">{"'장비'!$A$3:$M$12"}</definedName>
    <definedName name="rtytry_1">{"'장비'!$A$3:$M$12"}</definedName>
    <definedName name="rtytry_2">{"'장비'!$A$3:$M$12"}</definedName>
    <definedName name="RUS_ИтогоКонПериода">[8]XLR_NoRangeSheet!$AC$8</definedName>
    <definedName name="RUS_ИтогоНачПериода">[8]XLR_NoRangeSheet!$AB$8</definedName>
    <definedName name="RUS_СКАмортизация">[8]XLR_NoRangeSheet!$V$8</definedName>
    <definedName name="RUS_СКБУОстатСтоимостьСоц">[8]XLR_NoRangeSheet!$AA$8</definedName>
    <definedName name="RUS_СКДобАктивы">[8]XLR_NoRangeSheet!$W$8</definedName>
    <definedName name="RUS_СКИстощение">[8]XLR_NoRangeSheet!$X$8</definedName>
    <definedName name="RUS_СККапвложения">[8]XLR_NoRangeSheet!$Y$8</definedName>
    <definedName name="RUS_СКОС100">[8]XLR_NoRangeSheet!$AE$8</definedName>
    <definedName name="RUS_СКОС101">[8]XLR_NoRangeSheet!$N$8</definedName>
    <definedName name="RUS_СКОС102">[8]XLR_NoRangeSheet!$O$8</definedName>
    <definedName name="RUS_СКОС103">[8]XLR_NoRangeSheet!$P$8</definedName>
    <definedName name="RUS_СКОС104">[8]XLR_NoRangeSheet!$Q$8</definedName>
    <definedName name="RUS_СКОС105">[8]XLR_NoRangeSheet!$R$8</definedName>
    <definedName name="RUS_СКОС106">[8]XLR_NoRangeSheet!$S$8</definedName>
    <definedName name="RUS_СКОС107">[8]XLR_NoRangeSheet!$T$8</definedName>
    <definedName name="RUS_СКОС114">[8]XLR_NoRangeSheet!$U$8</definedName>
    <definedName name="RUS_СНАмортизация">[8]XLR_NoRangeSheet!$J$8</definedName>
    <definedName name="RUS_СНБУОстатСтоимостьСоц">[8]XLR_NoRangeSheet!$Z$8</definedName>
    <definedName name="RUS_СНДобАктивы">[8]XLR_NoRangeSheet!$K$8</definedName>
    <definedName name="RUS_СНИстощение">[8]XLR_NoRangeSheet!$L$8</definedName>
    <definedName name="RUS_СНКапвложения">[8]XLR_NoRangeSheet!$M$8</definedName>
    <definedName name="RUS_СНОС100">[8]XLR_NoRangeSheet!$AD$8</definedName>
    <definedName name="RUS_СНОС101">[8]XLR_NoRangeSheet!$B$8</definedName>
    <definedName name="RUS_СНОС102">[8]XLR_NoRangeSheet!$C$8</definedName>
    <definedName name="RUS_СНОС103">[8]XLR_NoRangeSheet!$D$8</definedName>
    <definedName name="RUS_СНОС104">[8]XLR_NoRangeSheet!$E$8</definedName>
    <definedName name="RUS_СНОС105">[8]XLR_NoRangeSheet!$F$8</definedName>
    <definedName name="RUS_СНОС106">[8]XLR_NoRangeSheet!$G$8</definedName>
    <definedName name="RUS_СНОС107">[8]XLR_NoRangeSheet!$H$8</definedName>
    <definedName name="RUS_СНОС114">[8]XLR_NoRangeSheet!$I$8</definedName>
    <definedName name="SADADASD">#REF!</definedName>
    <definedName name="SAPBEXhrIndnt">1</definedName>
    <definedName name="SAPBEXrevision">1</definedName>
    <definedName name="SAPBEXsysID">"PCS"</definedName>
    <definedName name="SAPBEXwbID">"CF3TZ5JUGRAJL7UXFGQHATPFV"</definedName>
    <definedName name="SAPFuncF4Help">MAIN.SAPF4HELP()</definedName>
    <definedName name="SAPsysID">"708C5W7SBKP804JT78WJ0JNKI"</definedName>
    <definedName name="SAPwbID">"ARS"</definedName>
    <definedName name="sd">{"'Sheet1'!$L$16"}</definedName>
    <definedName name="sd_1">{"'Sheet1'!$L$16"}</definedName>
    <definedName name="sd_2">{"'Sheet1'!$L$16"}</definedName>
    <definedName name="sdd">{"uk cons 97",#N/A,FALSE,"Cons UK Income";"UK CONS NOI GRAPH",#N/A,FALSE,"Graphs2";"UK DNSTRM NOI PT CHART",#N/A,FALSE,"Graphs2";"UK MKT PERF YTD CHART",#N/A,FALSE,"Graphs";"UK MFG PERF YTD CHART",#N/A,FALSE,"Graphs";"UK MKT PERF A YTD CHART",#N/A,FALSE,"Graphs";"RETAIL MGNS CHART",#N/A,FALSE,"Graphs";"MFG PERF A YTD CHART",#N/A,FALSE,"Graphs"}</definedName>
    <definedName name="sdfdf">{"'장비'!$A$3:$M$12"}</definedName>
    <definedName name="sdfdf_1">{"'장비'!$A$3:$M$12"}</definedName>
    <definedName name="sdfdf_2">{"'장비'!$A$3:$M$12"}</definedName>
    <definedName name="SEA">0.05</definedName>
    <definedName name="sencount">1</definedName>
    <definedName name="Sergey">{"Area1",#N/A,FALSE,"OREWACC";"Area2",#N/A,FALSE,"OREWACC"}</definedName>
    <definedName name="SERVICE">"Texte 151"</definedName>
    <definedName name="sfc">#REF!</definedName>
    <definedName name="SHEET3">{"'NOTES2'!$G$9:$J$27"}</definedName>
    <definedName name="SHEET3_1">{"'NOTES2'!$G$9:$J$27"}</definedName>
    <definedName name="SHEET3_2">{"'NOTES2'!$G$9:$J$27"}</definedName>
    <definedName name="so">Dlog_Show</definedName>
    <definedName name="SODURTJ">Dlog_Show</definedName>
    <definedName name="SP">{"'장비'!$A$3:$M$12"}</definedName>
    <definedName name="SP_1">{"'장비'!$A$3:$M$12"}</definedName>
    <definedName name="SP_2">{"'장비'!$A$3:$M$12"}</definedName>
    <definedName name="SPACER">{"'장비'!$A$3:$M$12"}</definedName>
    <definedName name="SPACER_1">{"'장비'!$A$3:$M$12"}</definedName>
    <definedName name="SPACER_2">{"'장비'!$A$3:$M$12"}</definedName>
    <definedName name="SR">#REF!</definedName>
    <definedName name="sss">{"IASTrail",#N/A,FALSE,"IAS"}</definedName>
    <definedName name="st">{"'장비'!$A$3:$M$12"}</definedName>
    <definedName name="st_1">{"'장비'!$A$3:$M$12"}</definedName>
    <definedName name="st_2">{"'장비'!$A$3:$M$12"}</definedName>
    <definedName name="StartDate">39248</definedName>
    <definedName name="Surpluses_07GAAP">[8]XLR_NoRangeSheet!$L$10</definedName>
    <definedName name="Surpluses_07GAAPNGW">[8]XLR_NoRangeSheet!$M$10</definedName>
    <definedName name="Surpluses_07БУ">[8]XLR_NoRangeSheet!$K$10</definedName>
    <definedName name="Surpluses_08GAAP">[8]XLR_NoRangeSheet!$I$10</definedName>
    <definedName name="Surpluses_08GAAPNGW">[8]XLR_NoRangeSheet!$J$10</definedName>
    <definedName name="Surpluses_08БУ">[8]XLR_NoRangeSheet!$H$10</definedName>
    <definedName name="Surpluses_GAAPNGWПрочиеВыбытиеПроизводственные">[8]XLR_NoRangeSheet!$F$10</definedName>
    <definedName name="Surpluses_GAAPNGWПрочиеВыбытиеСоциальные">[8]XLR_NoRangeSheet!$G$10</definedName>
    <definedName name="Surpluses_GAAPПрочиеВыбытиеПроизводственные">[8]XLR_NoRangeSheet!$D$10</definedName>
    <definedName name="Surpluses_GAAPПрочиеВыбытиеСоциальные">[8]XLR_NoRangeSheet!$E$10</definedName>
    <definedName name="Surpluses_ПрочиеВыбытиеПроизводственные">[8]XLR_NoRangeSheet!$B$10</definedName>
    <definedName name="Surpluses_ПрочиеВыбытиеСоциальные">[8]XLR_NoRangeSheet!$C$10</definedName>
    <definedName name="TabEditPassWord">GBCB1</definedName>
    <definedName name="TextRefCopyRangeCount">42</definedName>
    <definedName name="tidf">{"'Sheet1'!$L$16"}</definedName>
    <definedName name="tidf_1">{"'Sheet1'!$L$16"}</definedName>
    <definedName name="tidf_2">{"'Sheet1'!$L$16"}</definedName>
    <definedName name="Transfer_01GAAPNGWПеремещенияПроизводственные">[8]XLR_NoRangeSheet!$F$11</definedName>
    <definedName name="Transfer_01GAAPNGWПеремещенияСоциальные">[8]XLR_NoRangeSheet!$G$11</definedName>
    <definedName name="Transfer_01GAAPПеремещенияПроизводственные">[8]XLR_NoRangeSheet!$D$11</definedName>
    <definedName name="Transfer_01GAAPПеремещенияСоциальные">[8]XLR_NoRangeSheet!$E$11</definedName>
    <definedName name="Transfer_01БУПеремещенияПроизводственные">[8]XLR_NoRangeSheet!$B$11</definedName>
    <definedName name="Transfer_01БУПеремещенияСоциальные">[8]XLR_NoRangeSheet!$C$11</definedName>
    <definedName name="Transfer_07GAAP">[8]XLR_NoRangeSheet!$K$11</definedName>
    <definedName name="Transfer_07GAAPNGW">[8]XLR_NoRangeSheet!$M$11</definedName>
    <definedName name="Transfer_07БУ">[8]XLR_NoRangeSheet!$I$11</definedName>
    <definedName name="Transfer_08GAAP">[8]XLR_NoRangeSheet!$J$11</definedName>
    <definedName name="Transfer_08GAAPNGW">[8]XLR_NoRangeSheet!$L$11</definedName>
    <definedName name="Transfer_08БУ">[8]XLR_NoRangeSheet!$H$11</definedName>
    <definedName name="ttt">#REF!</definedName>
    <definedName name="tyt">{"'장비'!$A$3:$M$12"}</definedName>
    <definedName name="tyt_1">{"'장비'!$A$3:$M$12"}</definedName>
    <definedName name="tyt_2">{"'장비'!$A$3:$M$12"}</definedName>
    <definedName name="tyyuy">{"'장비'!$A$3:$M$12"}</definedName>
    <definedName name="tyyuy_1">{"'장비'!$A$3:$M$12"}</definedName>
    <definedName name="tyyuy_2">{"'장비'!$A$3:$M$12"}</definedName>
    <definedName name="uditch">{"'장비'!$A$3:$M$12"}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E1">"Texte 159"</definedName>
    <definedName name="UNITE2">"Texte 160"</definedName>
    <definedName name="USD_311203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t">{"'Sheet1'!$L$16"}</definedName>
    <definedName name="ut_1">{"'Sheet1'!$L$16"}</definedName>
    <definedName name="ut_2">{"'Sheet1'!$L$16"}</definedName>
    <definedName name="uuuuuu">{"'장비'!$A$3:$M$12"}</definedName>
    <definedName name="uuuuuu_1">{"'장비'!$A$3:$M$12"}</definedName>
    <definedName name="uuuuuu_2">{"'장비'!$A$3:$M$12"}</definedName>
    <definedName name="uy">{"'장비'!$A$3:$M$12"}</definedName>
    <definedName name="uy_1">{"'장비'!$A$3:$M$12"}</definedName>
    <definedName name="uy_2">{"'장비'!$A$3:$M$12"}</definedName>
    <definedName name="VAÄT_LIEÄU">"ATRAM"</definedName>
    <definedName name="VERIFIE1">"Texte 165"</definedName>
    <definedName name="VERIFIE2">"Texte 177"</definedName>
    <definedName name="VERIFIE3">"Texte 171"</definedName>
    <definedName name="VERIFIE4">"Texte 183"</definedName>
    <definedName name="vf">{"'Sheet1'!$L$16"}</definedName>
    <definedName name="vf_1">{"'Sheet1'!$L$16"}</definedName>
    <definedName name="vf_2">{"'Sheet1'!$L$16"}</definedName>
    <definedName name="vn">{"'Sheet1'!$L$16"}</definedName>
    <definedName name="vn_1">{"'Sheet1'!$L$16"}</definedName>
    <definedName name="vn_2">{"'Sheet1'!$L$16"}</definedName>
    <definedName name="WBS">#REF!</definedName>
    <definedName name="werw">{"Area1",#N/A,FALSE,"OREWACC";"Area2",#N/A,FALSE,"OREWACC"}</definedName>
    <definedName name="WFT">{"Area1",#N/A,FALSE,"OREWACC";"Area2",#N/A,FALSE,"OREWACC"}</definedName>
    <definedName name="wjs">{"'장비'!$A$3:$M$12"}</definedName>
    <definedName name="wjs_1">{"'장비'!$A$3:$M$12"}</definedName>
    <definedName name="wjs_2">{"'장비'!$A$3:$M$12"}</definedName>
    <definedName name="wkrp">{"Area1",#N/A,FALSE,"OREWACC";"Area2",#N/A,FALSE,"OREWACC"}</definedName>
    <definedName name="WON">1200</definedName>
    <definedName name="wrn">{#N/A,#N/A,FALSE,"Шаблон_Спец1"}</definedName>
    <definedName name="wrn.1." hidden="1">{#N/A,#N/A,FALSE,"Шаблон_Спец1"}</definedName>
    <definedName name="wrn.2" hidden="1">{#N/A,#N/A,FALSE,"Шаблон_Спец1"}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BFT._.PACK." hidden="1">{"uk cons 97",#N/A,FALSE,"Cons UK Income"}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lients._.Office._.and._.sum." hidden="1">{#N/A,#N/A,FALSE,"Clients Office";#N/A,#N/A,FALSE,"Co Sum"}</definedName>
    <definedName name="wrn.Coded._.IAS._.FS." hidden="1">{"IASTrail",#N/A,FALSE,"IAS"}</definedName>
    <definedName name="wrn.Compco._.Only." hidden="1">{"vi1",#N/A,FALSE,"6_30_96";"vi2",#N/A,FALSE,"6_30_96";"vi3",#N/A,FALSE,"6_30_96"}</definedName>
    <definedName name="wrn.DATA." hidden="1">{"UK CONS NOI",#N/A,FALSE,"Cons UK Income";#N/A,#N/A,FALSE,"Key Data";"UK CONS TOTAL BBLS",#N/A,FALSE,"Barrels";"UK CONS BBLS PER DAY",#N/A,FALSE,"Barrels"}</definedName>
    <definedName name="wrn.ECR." hidden="1">{"TOTAL FRONT",#N/A,TRUE,"FRONT";"TOTAL SALES AND MKT",#N/A,TRUE,"NOI";"TOTAL RETAIL",#N/A,TRUE,"NOI";"RETAIL COGS CONSOL",#N/A,TRUE,"COGS CONSOL";"TOTAL RETAIL EXP",#N/A,TRUE,"EXPENSES";"RETAIL CONSOL VOLS",#N/A,TRUE,"VOLUME";"MARKETING OHD EXP",#N/A,TRUE,"EXPENSES";"RETAIL DSC EXP",#N/A,TRUE,"EXPENSES";"RETAIL OHD EXP",#N/A,TRUE,"EXPENSES";"REGIONAL EXPENSES",#N/A,TRUE,"EXPENSES";"STAR",#N/A,TRUE,"NOI";"STAR CONSOL COGS",#N/A,TRUE,"COGS";"STAR EXP",#N/A,TRUE,"EXPENSES";"STAR CONSOL PROD MGN",#N/A,TRUE,"PROD MGN";"STAR CONSOL VOLS",#N/A,TRUE,"VOLUME";"DEALER",#N/A,TRUE,"NOI";"DEALER COGS",#N/A,TRUE,"COGS";"DEALER EXP",#N/A,TRUE,"EXPENSES";"DEALER PROD MGN",#N/A,TRUE,"PROD MGN";"DEALER VOLS",#N/A,TRUE,"VOLUME";"RETAIL OPERATOR",#N/A,TRUE,"NOI";"RETAIL OPERATOR COGS",#N/A,TRUE,"COGS";"RETAIL OPERATOR EXPENSES",#N/A,TRUE,"EXPENSES";"RETAIL OPERATOR PROD MGN",#N/A,TRUE,"PROD MGN";"RETAIL OPERATOR VOLS",#N/A,TRUE,"VOLUME";"TENANT",#N/A,TRUE,"NOI";"TENANT COGS",#N/A,TRUE,"COGS";"TENANT EXP",#N/A,TRUE,"EXPENSES";"TENANT PROD MGN",#N/A,TRUE,"PROD MGN";"TENANT VOLS",#N/A,TRUE,"VOLUME";"MOTORWAYS",#N/A,TRUE,"NOI";"MOTORWAYS COGS",#N/A,TRUE,"COGS";"MOTORWAYS EXP",#N/A,TRUE,"EXPENSES";"MOTORWAY PROD MGN",#N/A,TRUE,"PROD MGN";"MOTORWAY VOLS",#N/A,TRUE,"VOLUME";"GROUP OPERATOR",#N/A,TRUE,"NOI";"GRP OPERATORS COGS",#N/A,TRUE,"COGS";"GROUP OP EXP",#N/A,TRUE,"EXPENSES";"GROUP OP PROD MGN",#N/A,TRUE,"PROD MGN";"GROUP OP VOLS",#N/A,TRUE,"VOLUME";"LUBRICANTS INDUSTRIAL",#N/A,TRUE,"NOI";"LUBES IND COGS",#N/A,TRUE,"COGS";"LUBES INDUSTRIAL EXP",#N/A,TRUE,"EXPENSES";"WAS DSC AND OHD EXP",#N/A,TRUE,"EXPENSES";"SUPPLY TO RETAIL",#N/A,TRUE,"NOI";"SUPPTY TO RETAIL COGS",#N/A,TRUE,"COGS";"SUPPLY TO RETAIL EXP",#N/A,TRUE,"EXPENSES";"SUPPLY TO RETAIL PROD MGN",#N/A,TRUE,"PROD MGN";"SUPPLY TO RETAIL VOLS",#N/A,TRUE,"VOLUME";"INVENTORY MANAGEMENT",#N/A,TRUE,"NOI";"INVENTORY MGT COGS",#N/A,TRUE,"COGS";"INVENTORY MGT EXP",#N/A,TRUE,"EXPENSES";"INVENTORY MGT VOLS",#N/A,TRUE,"VOLUME";"TOTAL COMMERCIAL",#N/A,TRUE,"NOI";"TOTAL COMMERCIAL COGS CONSOL",#N/A,TRUE,"COGS CONSOL";"TOTAL COMMERCIAL EXP",#N/A,TRUE,"EXPENSES";"COMM ADMIN EXP",#N/A,TRUE,"EXPENSES";"TOTAL COMMERCIAL PROD MGN",#N/A,TRUE,"PROD MGN";"TOTAL COMM VOLS",#N/A,TRUE,"VOLUME";"SPOT ACCOUNTS",#N/A,TRUE,"NOI";"SPOT ACCOUNTS COGS",#N/A,TRUE,"COGS";"SPOT ACCOUNT EXP",#N/A,TRUE,"EXPENSES";"SPOT ACCOUNTS PROD MGN",#N/A,TRUE,"PROD MGN";"SPOT ACCS VOLS",#N/A,TRUE,"VOLUME";"UNBRANDED RESELLER",#N/A,TRUE,"NOI";"UNBRANDED RESELLER COGS",#N/A,TRUE,"COGS";"UNBRANDED RESELLER EXP",#N/A,TRUE,"EXPENSES";"UNBRANDED RESELLER PROD MGN",#N/A,TRUE,"PROD MGN";"UNBRANDED RESELLER VOLS",#N/A,TRUE,"VOLUME";"TELEMARKETING",#N/A,TRUE,"NOI";"TELEMARKETING COGS",#N/A,TRUE,"COGS";"TELEMARKETING EXP",#N/A,TRUE,"EXPENSES";"TELEMARKETING PROD MGN",#N/A,TRUE,"PROD MGN";"TELEMARKETING VOLS",#N/A,TRUE,"VOLUME";"CONTRACTED ACCOUNTS",#N/A,TRUE,"NOI";"CONTRACTED ACCS COGS",#N/A,TRUE,"COGS";"CONTRACTED ACCS EXP",#N/A,TRUE,"EXPENSES";"CONTRACTED ACCS PROD MGN",#N/A,TRUE,"PROD MGN";"CONTRACTED ACCS VOLS",#N/A,TRUE,"VOLUME";"TENDER",#N/A,TRUE,"NOI";"TENDER COGS",#N/A,TRUE,"COGS";"TENDER EXP",#N/A,TRUE,"EXPENSES";"TENDER PROD MGN",#N/A,TRUE,"PROD MGN";"TENDER VOLS",#N/A,TRUE,"VOLUME";"AUTHORISED DISTRIBUTORS",#N/A,TRUE,"NOI";"AUTH DIST COGS",#N/A,TRUE,"COGS";"AUTH DIST EXP",#N/A,TRUE,"EXPENSES";"AUTH DIST PROD MGN",#N/A,TRUE,"PROD MGN";"AUTH DIST VOLS",#N/A,TRUE,"VOLUME";"NATIONAL ACCOUNTS",#N/A,TRUE,"NOI";"NATIONAL ACCS COGS",#N/A,TRUE,"COGS";"NATIONAL ACCOUNTS EXP",#N/A,TRUE,"EXPENSES";"NATIONAL ACCOUNTS PROD MGN",#N/A,TRUE,"PROD MGN";"NATIONAL ACCS VOLS",#N/A,TRUE,"VOLUME";"EQUITY DISTRIBUTORS",#N/A,TRUE,"NOI";"EQUITY DIST COGS",#N/A,TRUE,"COGS";"EQUITY DIST EXP",#N/A,TRUE,"EXPENSES";"EQUITY DIST PROD MGN",#N/A,TRUE,"PROD MGN";"EQUITY DIST VOLS",#N/A,TRUE,"VOLUME";"LUBRICANTS COMMERCIAL",#N/A,TRUE,"NOI";"COMM SERVICE STNS",#N/A,TRUE,"NOI";"FAST FUELS",#N/A,TRUE,"NOI";"FLITWICK TOTAL NOI",#N/A,TRUE,"NOI";"FLITWICK WHL NOI",#N/A,TRUE,"NOI";"FLITWICK RETAIL NOI",#N/A,TRUE,"NOI";"flitwick total cogs",#N/A,TRUE,"COGS";"FLITWICK WHL COGS",#N/A,TRUE,"COGS";"FLITWICK RETAIL COGS",#N/A,TRUE,"COGS";"FLITWICK TOTAL PROD MGN",#N/A,TRUE,"PROD MGN";"FLITWICK WHL PROD MGN",#N/A,TRUE,"PROD MGN";"FLITWICK RETAIL PROD MGN",#N/A,TRUE,"PROD MGN";"FLITWICK TOTAL VOLS",#N/A,TRUE,"VOLUME";"FLITWICK WHL VOLS",#N/A,TRUE,"VOLUME";"FLITWICK RETAIL VOLS",#N/A,TRUE,"VOLUME";"FLITWICK TOTAL EXPENSES",#N/A,TRUE,"EXPENSES";"FLITWICK WHL EXPENSES",#N/A,TRUE,"EXPENSES";"FLITWICK RETAIL EXPENSES",#N/A,TRUE,"EXPENSES"}</definedName>
    <definedName name="wrn.Field._.Office._.and._.Sum." hidden="1">{#N/A,#N/A,FALSE,"Field Rates";#N/A,#N/A,FALSE,"Field Sum"}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xed._.Assets._.Note._.and._.Depreciation." hidden="1">{#N/A,#N/A,FALSE,"FA_1";#N/A,#N/A,FALSE,"Dep'n SE";#N/A,#N/A,FALSE,"Dep'n FC"}</definedName>
    <definedName name="wrn.full." hidden="1">{"vi1",#N/A,FALSE,"Pagcc";"vi2",#N/A,FALSE,"Pagcc";"vi3",#N/A,FALSE,"Pagcc";"vi4",#N/A,FALSE,"Pagcc";"vi5",#N/A,FALSE,"Pagcc";#N/A,#N/A,FALSE,"Contribution"}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as." hidden="1">{"GAS FRONT",#N/A,TRUE,"FRONT";"NATURAL GAS",#N/A,TRUE,"NOI";"GAS PROD MGN",#N/A,TRUE,"PROD MGN";"NAT GAS COGS",#N/A,TRUE,"COGS";"GAS EXP",#N/A,TRUE,"EXPENSES";"GAS VOLS",#N/A,TRUE,"VOLUME"}</definedName>
    <definedName name="wrn.GRAPHS." hidden="1">{"uk cons 97",#N/A,FALSE,"Cons UK Income";"UK CONS NOI GRAPH",#N/A,FALSE,"Graphs2";"UK DNSTRM NOI PT CHART",#N/A,FALSE,"Graphs2";"UK MKT PERF YTD CHART",#N/A,FALSE,"Graphs";"UK MFG PERF YTD CHART",#N/A,FALSE,"Graphs";"UK MKT PERF A YTD CHART",#N/A,FALSE,"Graphs";"RETAIL MGNS CHART",#N/A,FALSE,"Graphs";"MFG PERF A YTD CHART",#N/A,FALSE,"Graphs"}</definedName>
    <definedName name="wrn.Help." hidden="1">{#N/A,#N/A,TRUE,"MAP";#N/A,#N/A,TRUE,"STEPS";#N/A,#N/A,TRUE,"RULES"}</definedName>
    <definedName name="wrn.HO._.Rates._.and._.Sum." hidden="1">{#N/A,#N/A,FALSE,"HO Rates";#N/A,#N/A,FALSE,"HO Sum"}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EPS." hidden="1">{"page1",#N/A,FALSE,"TIND_CC1";"page2",#N/A,FALSE,"TIND_CC1";"page3",#N/A,FALSE,"TIND_CC1";"page4",#N/A,FALSE,"TIND_CC1";"page5",#N/A,FALSE,"TIND_CC1"}</definedName>
    <definedName name="wrn.Inflation._.factors._.used." hidden="1">{#N/A,#N/A,FALSE,"Infl_fact"}</definedName>
    <definedName name="wrn.Lubes." hidden="1">{"LUBES FRONT",#N/A,TRUE,"FRONT";"LUBRICANTS INDUSTRIAL",#N/A,TRUE,"NOI";"LUBES INDUSTRIAL PROD MGN",#N/A,TRUE,"PROD MGN";"LUBES IND COGS",#N/A,TRUE,"COGS";"LUBES INDUSTRIAL EXP",#N/A,TRUE,"EXPENSES";"LUBES INDUSTRIAL VOLS",#N/A,TRUE,"VOLUME"}</definedName>
    <definedName name="wrn.NOI._.Division._.Heads." hidden="1">{"TOTAL SALES AND MKT",#N/A,FALSE,"NOI";"TOTAL RETAIL",#N/A,FALSE,"NOI";"TOTAL COMMERCIAL",#N/A,FALSE,"NOI"}</definedName>
    <definedName name="wrn.Paging._.Compco." hidden="1">{"financials",#N/A,TRUE,"6_30_96";"footnotes",#N/A,TRUE,"6_30_96";"valuation",#N/A,TRUE,"6_30_96"}</definedName>
    <definedName name="wrn.PL._.Analysis." hidden="1">{"AnalRSA",#N/A,TRUE,"PL-Anal";"AnalIAS",#N/A,TRUE,"PL-Anal"}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int." hidden="1">{"vi1",#N/A,FALSE,"Financial Statements";"vi2",#N/A,FALSE,"Financial Statements";#N/A,#N/A,FALSE,"DCF"}</definedName>
    <definedName name="wrn.print95and96." hidden="1">{"print95",#N/A,FALSE,"1995E.XLS";"print96",#N/A,FALSE,"1996E.XLS"}</definedName>
    <definedName name="wrn.REPORT1." hidden="1">{"PRINTME",#N/A,FALSE,"FINAL-10"}</definedName>
    <definedName name="wrn.Report2" hidden="1">{"PRINTME",#N/A,FALSE,"FINAL-10"}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ail." hidden="1">{"RETAIL FRONT",#N/A,TRUE,"FRONT";"TOTAL RETAIL",#N/A,TRUE,"NOI";"RETAIL COGS CONSOL",#N/A,TRUE,"COGS CONSOL";"TOTAL RETAIL EXP",#N/A,TRUE,"EXPENSES";"RETAIL CONSOL VOLS",#N/A,TRUE,"VOLUME";"MARKETING OHD EXP",#N/A,TRUE,"EXPENSES";"RETAIL DSC EXP",#N/A,TRUE,"EXPENSES";"RETAIL OHD EXP",#N/A,TRUE,"EXPENSES";"REGIONAL EXPENSES",#N/A,TRUE,"EXPENSES";"STAR",#N/A,TRUE,"NOI";"STAR CONSOL COGS",#N/A,TRUE,"COGS";"STAR EXP",#N/A,TRUE,"EXPENSES";"STAR CONSOL PROD MGN",#N/A,TRUE,"PROD MGN";"STAR CONSOL VOLS",#N/A,TRUE,"VOLUME";"DEALER",#N/A,TRUE,"NOI";"DEALER COGS",#N/A,TRUE,"COGS";"DEALER EXP",#N/A,TRUE,"EXPENSES";"DEALER PROD MGN",#N/A,TRUE,"PROD MGN";"DEALER VOLS",#N/A,TRUE,"VOLUME";"RETAIL OPERATOR",#N/A,TRUE,"NOI";"RETAIL OPERATOR COGS",#N/A,TRUE,"COGS";"RETAIL OPERATOR EXPENSES",#N/A,TRUE,"EXPENSES";"RETAIL OPERATOR PROD MGN",#N/A,TRUE,"PROD MGN";"RETAIL OPERATOR VOLS",#N/A,TRUE,"VOLUME";"TENANT",#N/A,TRUE,"NOI";"TENANT COGS",#N/A,TRUE,"COGS";"TENANT EXP",#N/A,TRUE,"EXPENSES";"TENANT PROD MGN",#N/A,TRUE,"PROD MGN";"TENANT VOLS",#N/A,TRUE,"VOLUME";"MOTORWAYS",#N/A,TRUE,"NOI";"MOTORWAYS COGS",#N/A,TRUE,"COGS";"MOTORWAYS EXP",#N/A,TRUE,"EXPENSES";"MOTORWAY PROD MGN",#N/A,TRUE,"PROD MGN";"MOTORWAY VOLS",#N/A,TRUE,"VOLUME";"GROUP OPERATOR",#N/A,TRUE,"NOI";"GRP OPERATORS COGS",#N/A,TRUE,"COGS";"GROUP OP EXP",#N/A,TRUE,"EXPENSES";"GROUP OP PROD MGN",#N/A,TRUE,"PROD MGN";"GROUP OP VOLS",#N/A,TRUE,"VOLUME"}</definedName>
    <definedName name="wrn.RSA._.BS._.and._.PL." hidden="1">{"BS1",#N/A,TRUE,"RSA_FS";"BS2",#N/A,TRUE,"RSA_FS";"BS3",#N/A,TRUE,"RSA_FS"}</definedName>
    <definedName name="wrn.sales." hidden="1">{"sales",#N/A,FALSE,"Sales";"sales existing",#N/A,FALSE,"Sales";"sales rd1",#N/A,FALSE,"Sales";"sales rd2",#N/A,FALSE,"Sales"}</definedName>
    <definedName name="wrn.SHORT." hidden="1">{"CREDIT STATISTICS",#N/A,FALSE,"STATS";"CF_AND_IS",#N/A,FALSE,"PLAN";"BALSHEET",#N/A,FALSE,"BALANCE SHEET"}</definedName>
    <definedName name="wrn.sp2344." hidden="1">{#N/A,#N/A,TRUE,"Смета на пасс. обор. №1"}</definedName>
    <definedName name="wrn.sp2345" hidden="1">{#N/A,#N/A,TRUE,"Смета на пасс. обор. №1"}</definedName>
    <definedName name="wrn.Summary." hidden="1">{"SUMMARY FRONT",#N/A,TRUE,"FRONT";"TOTAL SALES AND MKT",#N/A,TRUE,"NOI";"TOTAL RETAIL",#N/A,TRUE,"NOI";"RETAIL COGS CONSOL",#N/A,TRUE,"COGS CONSOL";"TOTAL RETAIL EXP",#N/A,TRUE,"EXPENSES";"RETAIL CONSOL VOLS",#N/A,TRUE,"VOLUME";"MARKETING OHD EXP",#N/A,TRUE,"EXPENSES";"RETAIL DSC EXP",#N/A,TRUE,"EXPENSES";"RETAIL OHD EXP",#N/A,TRUE,"EXPENSES";"REGIONAL EXPENSES",#N/A,TRUE,"EXPENSES";"LUBRICANTS INDUSTRIAL",#N/A,TRUE,"NOI";"LUBES IND COGS",#N/A,TRUE,"COGS";"LUBES INDUSTRIAL EXP",#N/A,TRUE,"EXPENSES";"WAS DSC AND OHD EXP",#N/A,TRUE,"EXPENSES";"TOTAL COMMERCIAL",#N/A,TRUE,"NOI";"TOTAL COMMERCIAL COGS CONSOL",#N/A,TRUE,"COGS CONSOL";"TOTAL COMMERCIAL EXP",#N/A,TRUE,"EXPENSES";"COMM ADMIN EXP",#N/A,TRUE,"EXPENSES";"TOTAL COMMERCIAL PROD MGN",#N/A,TRUE,"PROD MGN";"TOTAL COMM VOLS",#N/A,TRUE,"VOLUME"}</definedName>
    <definedName name="wrn.Table._.A." hidden="1">{"Table A,pg 1",#N/A,FALSE,"Table A-Prov GUR";"Table A,pg 2",#N/A,FALSE,"Table A-Prov GUR"}</definedName>
    <definedName name="wrn.Table._.A1." hidden="1">{"Table A1,pg 1",#N/A,FALSE,"Table A1-Net Prov Res";"Table A1,pg 2",#N/A,FALSE,"Table A1-Net Prov Res"}</definedName>
    <definedName name="wrn.Wacc." hidden="1">{"Area1",#N/A,FALSE,"OREWACC";"Area2",#N/A,FALSE,"OREWACC"}</definedName>
    <definedName name="wrn.xrates." hidden="1">{#N/A,#N/A,FALSE,"1996";#N/A,#N/A,FALSE,"1995";#N/A,#N/A,FALSE,"1994"}</definedName>
    <definedName name="wrn.Все." hidden="1">{#N/A,#N/A,TRUE,"Смета";#N/A,#N/A,TRUE,"Износ";#N/A,#N/A,TRUE,"Материалы";#N/A,#N/A,TRUE,"Оклад";#N/A,#N/A,TRUE,"Амортизация";#N/A,#N/A,TRUE,"Транспорт";#N/A,#N/A,TRUE,"Задание"}</definedName>
    <definedName name="wrn.о1." hidden="1">{#N/A,#N/A,FALSE,"Акт-Смета"}</definedName>
    <definedName name="wrn.ОТЧЕТ._.ПО._.МАРКАМ._.ЗА._.1._.КВАРТАЛ._.1998._.ГОДА." hidden="1">{#N/A,#N/A,FALSE,"1 квартал"}</definedName>
    <definedName name="wrn.Печать._.всех._.форм." hidden="1">{"осн2",#N/A,FALSE,"Оснрасчет";"осн3",#N/A,FALSE,"Оснрасчет";#N/A,#N/A,FALSE,"кальк эн";#N/A,#N/A,FALSE,"накл ц";#N/A,#N/A,FALSE,"накл котельной";#N/A,#N/A,FALSE,"НАКЛ ЭНЕРГ";#N/A,#N/A,FALSE,"НАКЛ ВОДЫ"}</definedName>
    <definedName name="wrn.Прибыль._.дерев." hidden="1">{"Прибыль дерев",#N/A,FALSE,"Дерев"}</definedName>
    <definedName name="wrn.Прибыль._.ЗАП." hidden="1">{"Прибыль ЗАП",#N/A,FALSE,"ЗАП"}</definedName>
    <definedName name="wrn.Прибыль._.инстр." hidden="1">{"Прибыль инстр",#N/A,FALSE,"Инстр"}</definedName>
    <definedName name="wrn.Прибыль._.литейн." hidden="1">{"Прибыль",#N/A,FALSE,"Литейн"}</definedName>
    <definedName name="wrn.Прибыль._.механ." hidden="1">{"Прибыль механ",#N/A,FALSE,"Механ"}</definedName>
    <definedName name="wrn.Прибыль._.прессов." hidden="1">{"Прибыль пресс",#N/A,FALSE,"Прессов"}</definedName>
    <definedName name="wrn.Прибыль._.прокатн." hidden="1">{"Прибыль прокатн",#N/A,FALSE,"Прокатн"}</definedName>
    <definedName name="wrn.Прибыль._.СаМеКо." hidden="1">{"Прибыль СаМеКо",#N/A,FALSE,"Итог СаМеКо"}</definedName>
    <definedName name="wrn.Прибыль._.СМЗ." hidden="1">{"Прибыль СМЗ",#N/A,FALSE,"СМЗ"}</definedName>
    <definedName name="wrn.Прибыль._.энерг." hidden="1">{"Приибыль энерг",#N/A,FALSE,"Энерг"}</definedName>
    <definedName name="wrn.тест." hidden="1">{#N/A,#N/A,TRUE,"Транспорт";#N/A,#N/A,TRUE,"Оклад"}</definedName>
    <definedName name="WRS">{"'장비'!$A$3:$M$12"}</definedName>
    <definedName name="WRS_1">{"'장비'!$A$3:$M$12"}</definedName>
    <definedName name="WRS_2">{"'장비'!$A$3:$M$12"}</definedName>
    <definedName name="www">{"Area1",#N/A,FALSE,"OREWACC";"Area2",#N/A,FALSE,"OREWACC"}</definedName>
    <definedName name="wwww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wwwww">{#N/A,#N/A,FALSE,"HO Sum";#N/A,#N/A,FALSE,"HO Rates";#N/A,#N/A,FALSE,"Co Sum";#N/A,#N/A,FALSE,"Clients Office";#N/A,#N/A,FALSE,"Field Sum";#N/A,#N/A,FALSE,"Field Rates"}</definedName>
    <definedName name="x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XCCT">0.5</definedName>
    <definedName name="xh">{"'장비'!$A$3:$M$12"}</definedName>
    <definedName name="xh_1">{"'장비'!$A$3:$M$12"}</definedName>
    <definedName name="xh_2">{"'장비'!$A$3:$M$12"}</definedName>
    <definedName name="XLRPARAMS_FinishDate">[8]XLR_NoRangeSheet!$G$6</definedName>
    <definedName name="XLRPARAMS_FirmName">[8]XLR_NoRangeSheet!$I$6</definedName>
    <definedName name="XLRPARAMS_StartDate">[8]XLR_NoRangeSheet!$F$6</definedName>
    <definedName name="xpr">{"Area1",#N/A,FALSE,"OREWACC";"Area2",#N/A,FALSE,"OREWACC"}</definedName>
    <definedName name="XRefCopyRangeCount">2</definedName>
    <definedName name="xx">{"IASTrail",#N/A,FALSE,"IAS"}</definedName>
    <definedName name="yi">{"'Sheet1'!$L$16"}</definedName>
    <definedName name="yi_1">{"'Sheet1'!$L$16"}</definedName>
    <definedName name="yi_2">{"'Sheet1'!$L$16"}</definedName>
    <definedName name="yjdjt">#REF!</definedName>
    <definedName name="yuyu">{"'장비'!$A$3:$M$12"}</definedName>
    <definedName name="yuyu_1">{"'장비'!$A$3:$M$12"}</definedName>
    <definedName name="yuyu_2">{"'장비'!$A$3:$M$12"}</definedName>
    <definedName name="yuyuyu">{"'장비'!$A$3:$M$12"}</definedName>
    <definedName name="yuyuyu_1">{"'장비'!$A$3:$M$12"}</definedName>
    <definedName name="yuyuyu_2">{"'장비'!$A$3:$M$12"}</definedName>
    <definedName name="yyy">{"'장비'!$A$3:$M$12"}</definedName>
    <definedName name="yyy_1">{"'장비'!$A$3:$M$12"}</definedName>
    <definedName name="yyy_2">{"'장비'!$A$3:$M$12"}</definedName>
    <definedName name="yyyyy">{"'장비'!$A$3:$M$12"}</definedName>
    <definedName name="yyyyy_1">{"'장비'!$A$3:$M$12"}</definedName>
    <definedName name="yyyyy_2">{"'장비'!$A$3:$M$12"}</definedName>
    <definedName name="Z_01B9E34F_80F0_46B9_B861_74B2A43D41B8_.wvu.FilterData" hidden="1">#REF!</definedName>
    <definedName name="Z_01C47C6E_73EE_40C4_8D09_6491185BFAFB_.wvu.FilterData" hidden="1">#REF!</definedName>
    <definedName name="Z_040DD8BD_D054_43F6_9140_DA543CBAAE85_.wvu.FilterData" hidden="1">#REF!</definedName>
    <definedName name="Z_04F359AE_C2F8_4E6E_9445_639809E70C2B_.wvu.FilterData" hidden="1">#REF!</definedName>
    <definedName name="Z_0547618D_99D3_445E_BB47_C926B9693DB3_.wvu.FilterData" hidden="1">#REF!</definedName>
    <definedName name="Z_06CB3EB2_D4A3_4793_B407_9559F20FAAAE_.wvu.FilterData" hidden="1">#REF!</definedName>
    <definedName name="Z_06F21C74_6BE8_4794_81F1_36C8305A2961_.wvu.FilterData" hidden="1">#REF!</definedName>
    <definedName name="Z_07830EC9_AADE_45ED_8B8D_20C0CE7C8B70_.wvu.FilterData" hidden="1">#REF!</definedName>
    <definedName name="Z_07868AE6_27AA_4310_BAAC_8AC06EAC052D_.wvu.FilterData" hidden="1">#REF!</definedName>
    <definedName name="Z_07BE7D07_EAEC_4901_80DE_3595577F308A_.wvu.FilterData" hidden="1">#REF!</definedName>
    <definedName name="Z_08020EC2_D5A6_490B_9239_7BF78C164E2C_.wvu.FilterData" hidden="1">#REF!</definedName>
    <definedName name="Z_09462F94_2769_47EB_B3C3_3E74F510592A_.wvu.FilterData" hidden="1">#REF!</definedName>
    <definedName name="Z_09A675D7_23C2_4A02_B4C1_56B02CE79286_.wvu.PrintArea" hidden="1">#REF!</definedName>
    <definedName name="Z_09F2EF98_EB70_4D7D_B098_01C0ABD72D72_.wvu.FilterData" hidden="1">#REF!</definedName>
    <definedName name="Z_0AB68407_2AB6_4CA7_B142_4E81F8B0217A_.wvu.FilterData" hidden="1">#REF!</definedName>
    <definedName name="Z_0AB68407_2AB6_4CA7_B142_4E81F8B0217A_.wvu.Rows" hidden="1">#REF!</definedName>
    <definedName name="Z_0B85430C_45DD_4286_ABA4_7FF797A27DCE_.wvu.FilterData" hidden="1">#REF!</definedName>
    <definedName name="Z_0B9BA97A_1378_477A_9505_9EC28EDDEBC6_.wvu.FilterData" hidden="1">#REF!</definedName>
    <definedName name="Z_0D5F6C64_80DC_4C9D_9322_FB8825A62010_.wvu.FilterData" hidden="1">#REF!</definedName>
    <definedName name="Z_0ED647E8_4EEC_4A0D_9BC3_E1B24058B5A7_.wvu.FilterData" hidden="1">#REF!</definedName>
    <definedName name="Z_0FEE6DF0_B6B1_409E_9012_941C2AD3D757_.wvu.FilterData" hidden="1">#REF!</definedName>
    <definedName name="Z_123868D4_54BE_4BF2_BFE5_762F87CCFE6E_.wvu.FilterData" hidden="1">#REF!</definedName>
    <definedName name="Z_149A251D_CD71_4A1A_A398_F9876C4B21F8_.wvu.FilterData" hidden="1">#REF!</definedName>
    <definedName name="Z_15D77F25_0280_4EEF_B787_A334AC98CE0A_.wvu.FilterData" hidden="1">#REF!</definedName>
    <definedName name="Z_15E363F5_6D89_4329_B525_F25B1BD44BFF_.wvu.FilterData" hidden="1">#REF!</definedName>
    <definedName name="Z_1615E3F4_A531_4807_BF07_3B2E69772A77_.wvu.FilterData" hidden="1">#REF!</definedName>
    <definedName name="Z_17E084A6_F624_4F2A_A79B_8563FAB4AE96_.wvu.FilterData" hidden="1">#REF!</definedName>
    <definedName name="Z_184726B2_EF0C_425E_B815_4EC258A6C9DB_.wvu.FilterData" hidden="1">#REF!</definedName>
    <definedName name="Z_18A8D7D5_DF9E_4A4D_8EFF_A9EE9DF60A27_.wvu.FilterData" hidden="1">#REF!</definedName>
    <definedName name="Z_19A53A0C_7ADB_4052_B347_0E4C8E111035_.wvu.FilterData" hidden="1">#REF!</definedName>
    <definedName name="Z_1CE615D2_413C_43CB_8F33_9248DBCBF858_.wvu.FilterData" hidden="1">#REF!</definedName>
    <definedName name="Z_1DB39D48_C794_493B_AA3A_1E828B55A91A_.wvu.FilterData" hidden="1">#REF!</definedName>
    <definedName name="Z_1DE18FEB_0768_44AE_B506_5F73E524ACCA_.wvu.FilterData" hidden="1">#REF!</definedName>
    <definedName name="Z_1E6A9DD8_5B95_4131_B289_F29A975A49A6_.wvu.FilterData" hidden="1">#REF!</definedName>
    <definedName name="Z_1E6A9DD8_5B95_4131_B289_F29A975A49A6_.wvu.PrintTitles" hidden="1">#REF!</definedName>
    <definedName name="Z_1E798AD5_C1E3_4A7A_A5A8_2BD7D32A8590_.wvu.FilterData" hidden="1">#REF!</definedName>
    <definedName name="Z_1F446AC4_5836_4260_A19C_4DA439F4B49D_.wvu.FilterData" hidden="1">#REF!</definedName>
    <definedName name="Z_1F8A7AB2_1A58_4E9F_9E30_61282D0795C4_.wvu.FilterData" hidden="1">#REF!</definedName>
    <definedName name="Z_1F972D8D_5BFF_4180_87FB_A67EE7518876_.wvu.FilterData" hidden="1">#REF!</definedName>
    <definedName name="Z_20B88347_EA71_4B72_96F6_0430DD6CF683_.wvu.FilterData" hidden="1">#REF!</definedName>
    <definedName name="Z_2126CDAB_1156_4E6C_97E1_AA9A65DD6B1C_.wvu.FilterData" hidden="1">#REF!</definedName>
    <definedName name="Z_2139F629_098E_4DBA_80EC_9CAE7B114E3D_.wvu.FilterData" hidden="1">#REF!</definedName>
    <definedName name="Z_233204EA_2E5C_465D_A673_CD1522792965_.wvu.FilterData" hidden="1">#REF!</definedName>
    <definedName name="Z_23D4D87B_E328_42A4_850C_A5F5E38C0896_.wvu.FilterData" hidden="1">#REF!</definedName>
    <definedName name="Z_24528680_959E_4550_936C_1982C9D5AD93_.wvu.FilterData" hidden="1">#REF!</definedName>
    <definedName name="Z_260CB89E_3B5F_45AE_AEB4_D0CB957691B3_.wvu.FilterData" hidden="1">#REF!</definedName>
    <definedName name="Z_264C1B79_36AB_4A2F_B216_0AAE38D9FCEE_.wvu.FilterData" hidden="1">#REF!</definedName>
    <definedName name="Z_281063A5_BE88_49B0_9AE6_06DB95A6574F_.wvu.FilterData" hidden="1">#REF!</definedName>
    <definedName name="Z_29113478_A706_48CF_BCA7_D812794D724A_.wvu.FilterData" hidden="1">#REF!</definedName>
    <definedName name="Z_2935D90A_C0D5_4AAC_9F3B_860FFE850CF8_.wvu.FilterData" hidden="1">#REF!</definedName>
    <definedName name="Z_2AB7915D_DACF_4EC4_BC32_ED6C7808E238_.wvu.FilterData" hidden="1">#REF!</definedName>
    <definedName name="Z_2B1FB9BC_DA2A_4B49_B62E_C3814E35D3D6_.wvu.FilterData" hidden="1">#REF!</definedName>
    <definedName name="Z_2BB0C1CE_B092_4E45_8314_5AF04D1A5585_.wvu.FilterData" hidden="1">#REF!</definedName>
    <definedName name="Z_2F70B19E_92D8_4B52_A9E0_5AA5E351B875_.wvu.FilterData" hidden="1">#REF!</definedName>
    <definedName name="Z_2FDE9FB7_A9E4_4C59_BAF3_4B314E523113_.wvu.FilterData" hidden="1">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3207F8D0_941B_4818_9EDF_0F0E6A8FB699_.wvu.FilterData" hidden="1">#REF!</definedName>
    <definedName name="Z_326A8AD5_6F81_4722_AB32_2B8561C0B27F_.wvu.FilterData" hidden="1">#REF!</definedName>
    <definedName name="Z_338AA561_3E23_4683_8B84_5BDD13F5FB22_.wvu.FilterData" hidden="1">#REF!</definedName>
    <definedName name="Z_33EFE1D4_1635_4E36_8971_B021BA5B94A3_.wvu.FilterData" hidden="1">#REF!</definedName>
    <definedName name="Z_344D8FDE_1BF2_4A0B_879A_F4B9D317F6C2_.wvu.FilterData" hidden="1">#REF!</definedName>
    <definedName name="Z_34BB3CAB_4C66_4107_B4AC_9CC7E430216B_.wvu.FilterData" hidden="1">#REF!</definedName>
    <definedName name="Z_36FF74A7_09C2_427F_B4E2_AFC58FD33E4E_.wvu.FilterData" hidden="1">#REF!</definedName>
    <definedName name="Z_3801DCB7_5391_4628_B86C_91331E33E863_.wvu.FilterData" hidden="1">#REF!</definedName>
    <definedName name="Z_39C6E7EB_35AE_4990_B01E_5CE29EE5C78D_.wvu.FilterData" hidden="1">#REF!</definedName>
    <definedName name="Z_39DCE38A_8BFC_42B0_BE58_05B2B8E3CF93_.wvu.FilterData" hidden="1">#REF!</definedName>
    <definedName name="Z_3A160DE1_3AF2_4676_8E42_85B4E23450DD_.wvu.FilterData" hidden="1">#REF!</definedName>
    <definedName name="Z_3AA33222_5D8A_406E_BF01_C68013CB3B35_.wvu.Cols" hidden="1">#REF!</definedName>
    <definedName name="Z_3C62743D_BD70_48A9_935D_71359E3E6185_.wvu.FilterData" hidden="1">#REF!</definedName>
    <definedName name="Z_3E0AC507_7D67_4827_9D1C_B08EEB845EEE_.wvu.FilterData" hidden="1">#REF!</definedName>
    <definedName name="Z_3E55370D_CDBE_46FE_9787_E04F332531E6_.wvu.FilterData" hidden="1">#REF!</definedName>
    <definedName name="Z_3F84FB7B_8ACA_41F1_9D3E_880588F02BE6_.wvu.FilterData" hidden="1">#REF!</definedName>
    <definedName name="Z_41411E57_1B24_4F47_9532_3D6B371216B7_.wvu.FilterData" hidden="1">#REF!</definedName>
    <definedName name="Z_43E54362_25E0_43EA_8D89_B59839049F13_.wvu.FilterData" hidden="1">#REF!</definedName>
    <definedName name="Z_465671FE_53E9_4F55_BC3A_126618F4D0C6_.wvu.FilterData" hidden="1">#REF!</definedName>
    <definedName name="Z_47597DAC_F7F1_4549_8981_4D473E4A7ACC_.wvu.FilterData" hidden="1">#REF!</definedName>
    <definedName name="Z_487A38C1_073E_471A_9668_6284958D8DBA_.wvu.FilterData" hidden="1">#REF!</definedName>
    <definedName name="Z_4CF92307_2217_4DE3_996A_A3115CFB22C6_.wvu.FilterData" hidden="1">#REF!</definedName>
    <definedName name="Z_4D3A3A50_1E5E_4ABD_B42A_A700F2D9FA9C_.wvu.FilterData" hidden="1">#REF!</definedName>
    <definedName name="Z_4E5084C6_988E_4780_93B3_7C0275D06567_.wvu.FilterData" hidden="1">#REF!</definedName>
    <definedName name="Z_4F345B1E_296C_4D08_A451_454D67258D24_.wvu.FilterData" hidden="1">#REF!</definedName>
    <definedName name="Z_52BC56C2_1006_4B41_A42A_6B40554CDA39_.wvu.FilterData" hidden="1">#REF!</definedName>
    <definedName name="Z_5319CC99_822D_406F_9C12_25F47E472F3D_.wvu.FilterData" hidden="1">#REF!</definedName>
    <definedName name="Z_531A2E4D_1988_4D59_B927_B7190C80EBAA_.wvu.FilterData" hidden="1">#REF!</definedName>
    <definedName name="Z_540A29FC_6866_45E6_BCF1_3D779D34DD08_.wvu.FilterData" hidden="1">#REF!</definedName>
    <definedName name="Z_5520ABA1_AA06_4713_8D35_BC0DC6F6E924_.wvu.FilterData" hidden="1">#REF!</definedName>
    <definedName name="Z_55DB2FC2_4B03_4B29_9354_7D40FB3B7538_.wvu.FilterData" hidden="1">#REF!</definedName>
    <definedName name="Z_56E2F2B5_BB44_431E_ACC1_F39B0DD4EA71_.wvu.FilterData" hidden="1">#REF!</definedName>
    <definedName name="Z_5A5F47F0_2B02_425F_9509_902FEC6CB8D4_.wvu.FilterData" hidden="1">#REF!</definedName>
    <definedName name="Z_5A706A12_B85E_41E2_8BDD_EC85C55902AB_.wvu.FilterData" hidden="1">#REF!</definedName>
    <definedName name="Z_5B398CB5_38BC_4CC3_9A0E_9513DC3E75AD_.wvu.FilterData" hidden="1">#REF!</definedName>
    <definedName name="Z_5CA8EFA6_7E89_4616_928A_39059E3AA216_.wvu.FilterData" hidden="1">#REF!</definedName>
    <definedName name="Z_60FDB94A_50AF_4E10_876B_D144A2E9568B_.wvu.FilterData" hidden="1">#REF!</definedName>
    <definedName name="Z_63475192_9094_4BA2_9AFC_8536BC77489E_.wvu.FilterData" hidden="1">#REF!</definedName>
    <definedName name="Z_6403545B_2A3B_4863_8819_F89E80114385_.wvu.FilterData" hidden="1">#REF!</definedName>
    <definedName name="Z_66636C07_5702_4EF3_B655_CDBAF654F15A_.wvu.FilterData" hidden="1">#REF!</definedName>
    <definedName name="Z_6963484B_0282_48B8_8317_EBF3903C7746_.wvu.FilterData" hidden="1">#REF!</definedName>
    <definedName name="Z_69D06662_5693_4F4C_AFD2_A32734DE2B11_.wvu.FilterData" hidden="1">#REF!</definedName>
    <definedName name="Z_6AE2FF41_261D_4F00_9D6D_F4804D21DDB3_.wvu.FilterData" hidden="1">#REF!</definedName>
    <definedName name="Z_6B67A6A0_1413_448D_98A5_D43F57DEC926_.wvu.FilterData" hidden="1">#REF!</definedName>
    <definedName name="Z_6B73B95E_43C0_4085_B9FE_22A6F30869ED_.wvu.FilterData" hidden="1">#REF!</definedName>
    <definedName name="Z_6BCB3D0F_5DBD_48EF_9460_43FFCBBCD422_.wvu.FilterData" hidden="1">#REF!</definedName>
    <definedName name="Z_6C3174E8_A2D4_4179_AA88_08CB5E7EA480_.wvu.FilterData" hidden="1">#REF!</definedName>
    <definedName name="Z_6CA47E86_B3B9_49E0_9BB0_E98600830225_.wvu.FilterData" hidden="1">#REF!</definedName>
    <definedName name="Z_6CF14753_FB4C_4C53_8AD7_D56F6E280083_.wvu.FilterData" hidden="1">#REF!</definedName>
    <definedName name="Z_6D917413_A3B5_4E5B_9004_56E0184D00F3_.wvu.FilterData" hidden="1">#REF!</definedName>
    <definedName name="Z_6E299587_D8E0_4139_8A2F_67139875A814_.wvu.FilterData" hidden="1">#REF!</definedName>
    <definedName name="Z_6FD7247E_19B7_4029_9F3A_EE01E21A1B67_.wvu.FilterData" hidden="1">#REF!</definedName>
    <definedName name="Z_70C94FA5_FE89_4042_B93F_6AAFC00B0B8D_.wvu.FilterData" hidden="1">#REF!</definedName>
    <definedName name="Z_735B96DC_7219_4D8B_ABAD_220D2B7947CB_.wvu.FilterData" hidden="1">#REF!</definedName>
    <definedName name="Z_7477AF3A_2BAF_4725_8909_5A723A8007EF_.wvu.FilterData" hidden="1">#REF!</definedName>
    <definedName name="Z_769F22F0_2CE4_4330_85CB_1C9A68E8695A_.wvu.Cols" hidden="1">#REF!</definedName>
    <definedName name="Z_772A0E09_E630_11D6_8608_0001029C9B35_.wvu.Rows" hidden="1">#REF!</definedName>
    <definedName name="Z_779FC938_DF7A_4CF6_94B0_CDCDD6986FF7_.wvu.FilterData" hidden="1">#REF!</definedName>
    <definedName name="Z_77C15715_A4AB_4912_82E3_0F7DB54190C8_.wvu.FilterData" hidden="1">#REF!</definedName>
    <definedName name="Z_78843FEE_592A_4684_AA75_B78B1EF9F038_.wvu.FilterData" hidden="1">#REF!</definedName>
    <definedName name="Z_7990C264_C2FA_4640_A803_28B1D360B5E8_.wvu.FilterData" hidden="1">#REF!</definedName>
    <definedName name="Z_7A398D2C_8D5C_43F0_ACD4_39BBBD17F460_.wvu.FilterData" hidden="1">#REF!</definedName>
    <definedName name="Z_7BCAD35B_48BA_4F56_9D13_DD526F9AC0B8_.wvu.FilterData" hidden="1">#REF!</definedName>
    <definedName name="Z_7C4B07A8_2C5F_4DD5_99EB_9D4251FC0870_.wvu.FilterData" hidden="1">#REF!</definedName>
    <definedName name="Z_7C5D64EB_B280_4DF7_8070_7F6FFC6C118D_.wvu.FilterData" hidden="1">#REF!</definedName>
    <definedName name="Z_7CB778C4_AF6E_4D70_BAFD_ACCBAF83FC37_.wvu.FilterData" hidden="1">#REF!</definedName>
    <definedName name="Z_7DCC4356_81CF_48CE_B7EB_F916460AE99C_.wvu.FilterData" hidden="1">#REF!</definedName>
    <definedName name="Z_80BB6A2B_9544_4672_8398_FF4DA23DF7E3_.wvu.FilterData" hidden="1">#REF!</definedName>
    <definedName name="Z_82B9C43D_DB96_4397_AB1F_50E5A3A51795_.wvu.FilterData" hidden="1">#REF!</definedName>
    <definedName name="Z_82C8496E_E420_4D06_A8C1_E376CC09F820_.wvu.FilterData" hidden="1">#REF!</definedName>
    <definedName name="Z_837E5FC6_4281_4107_B0DC_A8F463497E55_.wvu.FilterData" hidden="1">#REF!</definedName>
    <definedName name="Z_83DCEEFF_4705_40AE_8072_0483B5743B5D_.wvu.FilterData" hidden="1">#REF!</definedName>
    <definedName name="Z_847A5FFF_A89C_4897_906B_EE405B25B225_.wvu.FilterData" hidden="1">#REF!</definedName>
    <definedName name="Z_854255C5_1077_459B_B647_AC8F4FD47D3A_.wvu.FilterData" hidden="1">#REF!</definedName>
    <definedName name="Z_85688AD2_A893_478E_9B2F_09B7C42482BA_.wvu.FilterData" hidden="1">#REF!</definedName>
    <definedName name="Z_86E9B424_197E_49CF_BFDA_2932BCEDD971_.wvu.FilterData" hidden="1">#REF!</definedName>
    <definedName name="Z_87D15442_58BD_4F3C_94DE_531020BB2A9F_.wvu.FilterData" hidden="1">#REF!</definedName>
    <definedName name="Z_87D52449_3B5E_4E8B_88A5_E300D9996EC7_.wvu.FilterData" hidden="1">#REF!</definedName>
    <definedName name="Z_889FE9FF_01D3_44AA_A47F_CD9BB14E2F74_.wvu.FilterData" hidden="1">#REF!</definedName>
    <definedName name="Z_8A11493B_31C6_480A_939B_94F8B46F7CAD_.wvu.FilterData" hidden="1">#REF!</definedName>
    <definedName name="Z_8A3676BD_192D_4B28_9F15_641104F7EB84_.wvu.FilterData" hidden="1">#REF!</definedName>
    <definedName name="Z_8AC1FF86_8181_4D33_A09C_D9252642F43D_.wvu.FilterData" hidden="1">#REF!</definedName>
    <definedName name="Z_8BCA58BD_70B7_40CE_A039_A616AAA9DF70_.wvu.FilterData" hidden="1">#REF!</definedName>
    <definedName name="Z_8C04156B_ECE3_4BE6_AE81_B06AC9DDCBBD_.wvu.FilterData" hidden="1">#REF!</definedName>
    <definedName name="Z_8D3BBDE3_D029_48FA_A7B1_266CA3A2B214_.wvu.FilterData" hidden="1">#REF!</definedName>
    <definedName name="Z_8D4E2CE7_B4AE_4487_A6EA_D94B532EF301_.wvu.FilterData" hidden="1">#REF!</definedName>
    <definedName name="Z_8EF961B3_4699_4490_B556_B5887737954D_.wvu.FilterData" hidden="1">#REF!</definedName>
    <definedName name="Z_8F73BF06_066B_4104_83FA_9338D9429A84_.wvu.FilterData" hidden="1">#REF!</definedName>
    <definedName name="Z_91195996_3591_4989_AC51_1CC20C4DA8EA_.wvu.FilterData" hidden="1">#REF!</definedName>
    <definedName name="Z_9337D27C_F450_4E0F_A993_9FA6026031B4_.wvu.FilterData" hidden="1">#REF!</definedName>
    <definedName name="Z_941E78A0_DA15_4559_8D24_47E60F64B332_.wvu.FilterData" hidden="1">#REF!</definedName>
    <definedName name="Z_96F2EE26_6561_4F4C_A5EB_5B153675D529_.wvu.FilterData" hidden="1">#REF!</definedName>
    <definedName name="Z_97D4D5E5_43F4_446C_A651_11999CE73F0D_.wvu.FilterData" hidden="1">#REF!</definedName>
    <definedName name="Z_9B9949C8_0BAA_4B11_A1CA_00EC9D2DC419_.wvu.FilterData" hidden="1">#REF!</definedName>
    <definedName name="Z_9C3E33FF_6562_4D26_BDF3_B29555E64301_.wvu.FilterData" hidden="1">#REF!</definedName>
    <definedName name="Z_9DFA07EB_C6E0_4532_9E8F_13C24B46A1AE_.wvu.FilterData" hidden="1">#REF!</definedName>
    <definedName name="Z_A0DAD961_7197_404E_AC96_B0E615F9E830_.wvu.FilterData" hidden="1">#REF!</definedName>
    <definedName name="Z_A24ACA16_EB04_482F_BB9A_2599E185C3D3_.wvu.FilterData" hidden="1">#REF!</definedName>
    <definedName name="Z_A4633B85_467D_49EB_95E7_E7B11A609631_.wvu.Cols" hidden="1">#REF!</definedName>
    <definedName name="Z_A4633B85_467D_49EB_95E7_E7B11A609631_.wvu.Rows" hidden="1">#REF!</definedName>
    <definedName name="Z_A4C45DF8_E6D8_4B06_84E7_81A5A9500D55_.wvu.FilterData" hidden="1">#REF!</definedName>
    <definedName name="Z_A52E95D2_430A_43EF_8C82_83878B555090_.wvu.FilterData" hidden="1">#REF!</definedName>
    <definedName name="Z_A564E848_8A16_4DE3_8578_F95B0AFD9DC2_.wvu.FilterData" hidden="1">#REF!</definedName>
    <definedName name="Z_A781204A_C096_4FD9_8686_E749AD880175_.wvu.FilterData" hidden="1">#REF!</definedName>
    <definedName name="Z_A8794A83_181C_4122_B911_4BBD3A571DEC_.wvu.FilterData" hidden="1">#REF!</definedName>
    <definedName name="Z_A9FF1EAD_E7B8_4A8D_9232_4283389FA5DC_.wvu.Cols" hidden="1">#REF!</definedName>
    <definedName name="Z_A9FF1EAD_E7B8_4A8D_9232_4283389FA5DC_.wvu.PrintArea" hidden="1">#REF!</definedName>
    <definedName name="Z_A9FF1EAD_E7B8_4A8D_9232_4283389FA5DC_.wvu.PrintTitles" hidden="1">#REF!</definedName>
    <definedName name="Z_AA3FC3D4_6E6E_4CE7_81E8_4A7B17AB1715_.wvu.FilterData" hidden="1">#REF!</definedName>
    <definedName name="Z_AAB7394C_3FF8_4265_B8C2_66BBB8B1248C_.wvu.FilterData" hidden="1">#REF!</definedName>
    <definedName name="Z_ABFCADC3_4CF7_48CF_B39D_E5828A75D43E_.wvu.FilterData" hidden="1">#REF!</definedName>
    <definedName name="Z_AC4A34A8_23F5_4C09_A60F_7421B1C74590_.wvu.FilterData" hidden="1">#REF!</definedName>
    <definedName name="Z_AC584ACE_C266_4881_B354_E52E6427C1D4_.wvu.FilterData" hidden="1">#REF!</definedName>
    <definedName name="Z_AD28BEA7_74AD_4668_98DA_B02594AB4A9F_.wvu.FilterData" hidden="1">#REF!</definedName>
    <definedName name="Z_ADDFEFC7_F8D4_4F51_8B45_4DF1B03C1D84_.wvu.FilterData" hidden="1">#REF!</definedName>
    <definedName name="Z_AFC4E5D4_3A50_4BD7_8981_E00CA5601E99_.wvu.FilterData" hidden="1">#REF!</definedName>
    <definedName name="Z_B0364D3E_645F_4033_893D_29F2224BCCD7_.wvu.FilterData" hidden="1">#REF!</definedName>
    <definedName name="Z_B08CF5DC_76DD_45F7_8117_C9FE4CDFE13D_.wvu.FilterData" hidden="1">#REF!</definedName>
    <definedName name="Z_B13DA151_EB04_4E46_A0CB_FABFF9C5DF72_.wvu.FilterData" hidden="1">#REF!</definedName>
    <definedName name="Z_B340090A_7121_4DF7_B8FD_E7BF8654F2EB_.wvu.FilterData" hidden="1">#REF!</definedName>
    <definedName name="Z_B3790809_8402_4639_802D_68CB564D3CAD_.wvu.FilterData" hidden="1">#REF!</definedName>
    <definedName name="Z_B3C1D59A_903F_46DF_8DF2_31381BD91025_.wvu.FilterData" hidden="1">#REF!</definedName>
    <definedName name="Z_B3CDBC94_37F5_4116_BD6E_D5B385C07413_.wvu.FilterData" hidden="1">#REF!</definedName>
    <definedName name="Z_B40719B5_6DD8_41F3_9C61_FA18B7BEC194_.wvu.FilterData" hidden="1">#REF!</definedName>
    <definedName name="Z_B5FB1767_00F1_47E1_979A_38E2CFECCE4E_.wvu.FilterData" hidden="1">#REF!</definedName>
    <definedName name="Z_B6D61CEC_479F_40D2_BFB7_830AFA48121C_.wvu.FilterData" hidden="1">#REF!</definedName>
    <definedName name="Z_B6EA8A04_6067_4CED_8676_4375FC6E4929_.wvu.FilterData" hidden="1">#REF!</definedName>
    <definedName name="Z_B8515688_C072_49D4_80D4_1978E858526D_.wvu.FilterData" hidden="1">#REF!</definedName>
    <definedName name="Z_BB0C7DED_1A2A_447D_AC53_8122CFF9D6F6_.wvu.FilterData" hidden="1">#REF!</definedName>
    <definedName name="Z_BD047219_C723_45AF_B6CE_3194D750F96A_.wvu.FilterData" hidden="1">#REF!</definedName>
    <definedName name="Z_BD9F2785_62CE_454B_8EC4_5B70580F1E90_.wvu.FilterData" hidden="1">#REF!</definedName>
    <definedName name="Z_BF9A441D_91C9_4CBB_A8C6_B1C8DDED0022_.wvu.FilterData" hidden="1">#REF!</definedName>
    <definedName name="Z_BFC54781_86DE_4A03_8DE2_96245227F466_.wvu.FilterData" hidden="1">#REF!</definedName>
    <definedName name="Z_BFD46250_AAC1_4A55_AF46_ED8E09898BF5_.wvu.FilterData" hidden="1">#REF!</definedName>
    <definedName name="Z_C061817B_F471_4B81_90AE_E317DA2C9A58_.wvu.FilterData" hidden="1">#REF!</definedName>
    <definedName name="Z_C131E47D_3396_4B17_9E92_DB888AEA91D5_.wvu.FilterData" hidden="1">#REF!</definedName>
    <definedName name="Z_C1802170_5495_42FB_B728_35CD980B19D6_.wvu.FilterData" hidden="1">#REF!</definedName>
    <definedName name="Z_C26D4D2E_294B_4D2B_871F_2EC8A4E760C7_.wvu.FilterData" hidden="1">#REF!</definedName>
    <definedName name="Z_C3063329_D0D0_4637_A72C_F328A5547CE7_.wvu.FilterData" hidden="1">#REF!</definedName>
    <definedName name="Z_C3D9BAF0_1C78_4CB5_AEF9_0EEE2A9DE669_.wvu.FilterData" hidden="1">#REF!</definedName>
    <definedName name="Z_C4068392_70E2_11D7_882C_000102B7EA93_.wvu.FilterData" hidden="1">#REF!</definedName>
    <definedName name="Z_C52FD69E_5B9C_4D82_B7ED_70C261BE0700_.wvu.FilterData" hidden="1">#REF!</definedName>
    <definedName name="Z_C5C733EB_610D_427A_858C_C033BAAB9779_.wvu.FilterData" hidden="1">#REF!</definedName>
    <definedName name="Z_C6A4B951_CE93_4890_83F3_C23448F2D1D7_.wvu.FilterData" hidden="1">#REF!</definedName>
    <definedName name="Z_C76CCD33_7C08_45FB_9AA2_FEC286E8C541_.wvu.FilterData" hidden="1">#REF!</definedName>
    <definedName name="Z_C8B71C34_C314_4936_BB18_B6D11C7CA539_.wvu.FilterData" hidden="1">#REF!</definedName>
    <definedName name="Z_C9C06A35_3B51_4DE2_AA97_F5650AC53897_.wvu.FilterData" hidden="1">#REF!</definedName>
    <definedName name="Z_CC9625CD_AAA3_4136_9705_36B82D07620E_.wvu.FilterData" hidden="1">#REF!</definedName>
    <definedName name="Z_CCACCE7A_EDA9_4FA4_88F6_AD6D5528E296_.wvu.FilterData" hidden="1">#REF!</definedName>
    <definedName name="Z_CDBBB3DF_C053_4317_9584_CD4D6DEEA688_.wvu.FilterData" hidden="1">#REF!</definedName>
    <definedName name="Z_CDFC9A88_B0BB_44E0_97F8_9097DD382BA5_.wvu.FilterData" hidden="1">#REF!</definedName>
    <definedName name="Z_CEDDC640_EE2A_4435_891D_2BDAE542CFD2_.wvu.FilterData" hidden="1">#REF!</definedName>
    <definedName name="Z_D1A82D5E_68FD_4B68_9784_52B58E5636E7_.wvu.FilterData" hidden="1">#REF!</definedName>
    <definedName name="Z_D1FAB40C_1B34_4F9F_B37A_5127BD88BBAC_.wvu.FilterData" hidden="1">#REF!</definedName>
    <definedName name="Z_D33463D8_B4A5_4DE4_B640_CAF7C4299D90_.wvu.FilterData" hidden="1">#REF!</definedName>
    <definedName name="Z_D6830399_E8F9_4A93_AD4C_0F373575B429_.wvu.FilterData" hidden="1">#REF!</definedName>
    <definedName name="Z_D77BD545_7453_49A9_86C7_0D8CE7EAA505_.wvu.FilterData" hidden="1">#REF!</definedName>
    <definedName name="Z_D7F87DB1_1990_4C3B_B971_3A6FA5D118CD_.wvu.FilterData" hidden="1">#REF!</definedName>
    <definedName name="Z_D8642325_9460_4501_938F_B70C469BB94C_.wvu.FilterData" hidden="1">#REF!</definedName>
    <definedName name="Z_DB5E2E10_5DC2_40A7_BA2F_BA4FCB2CBC8C_.wvu.FilterData" hidden="1">#REF!</definedName>
    <definedName name="Z_DB6923EA_4BB0_4B7E_AA47_83C7BF949F2A_.wvu.FilterData" hidden="1">#REF!</definedName>
    <definedName name="Z_DB98C602_A4A4_4B70_9ED4_358D78C2BD5B_.wvu.FilterData" hidden="1">#REF!</definedName>
    <definedName name="Z_DCEF54AB_2F3C_4138_9518_0AF912DE68F1_.wvu.FilterData" hidden="1">#REF!</definedName>
    <definedName name="Z_DD0EE640_D13F_4234_9EE5_3AFCE632A5F2_.wvu.FilterData" hidden="1">#REF!</definedName>
    <definedName name="Z_DFA9743D_F3CE_4CF4_8864_78598D0D751C_.wvu.FilterData" hidden="1">#REF!</definedName>
    <definedName name="Z_DFE430D0_DD4E_4E40_B190_19BEE9AD0CBC_.wvu.FilterData" hidden="1">#REF!</definedName>
    <definedName name="Z_E2547EDD_D29F_4DEE_98C5_A9AA79B5E613_.wvu.FilterData" hidden="1">#REF!</definedName>
    <definedName name="Z_E3DB78BC_F847_4E0A_8AF3_61B1B9D963F4_.wvu.Cols" hidden="1">#REF!</definedName>
    <definedName name="Z_E3DB78BC_F847_4E0A_8AF3_61B1B9D963F4_.wvu.PrintArea" hidden="1">#REF!</definedName>
    <definedName name="Z_E3DB78BC_F847_4E0A_8AF3_61B1B9D963F4_.wvu.PrintTitles" hidden="1">#REF!</definedName>
    <definedName name="Z_E62B5FDD_E3DE_49E6_BA80_5948A7E0F370_.wvu.FilterData" hidden="1">#REF!</definedName>
    <definedName name="Z_E65CFA7E_41DA_408C_A2AF_C9D9D211D253_.wvu.FilterData" hidden="1">#REF!</definedName>
    <definedName name="Z_E716EB83_6184_4934_AC9A_F207DFF8271C_.wvu.FilterData" hidden="1">#REF!</definedName>
    <definedName name="Z_E8DA1088_1B70_45BC_9580_AB21C9779799_.wvu.FilterData" hidden="1">#REF!</definedName>
    <definedName name="Z_EA132528_EA87_4E89_88E7_B910C8737820_.wvu.FilterData" hidden="1">#REF!</definedName>
    <definedName name="Z_EACA5552_6A11_454F_9370_90ABEB10D353_.wvu.FilterData" hidden="1">#REF!</definedName>
    <definedName name="Z_EAD327E5_03D5_4FE6_B20C_6C8F8ED20FDA_.wvu.FilterData" hidden="1">#REF!</definedName>
    <definedName name="Z_EC0806A7_F8A5_4AB0_9843_BEFEA068EF84_.wvu.FilterData" hidden="1">#REF!</definedName>
    <definedName name="Z_EC3BDFDA_32DB_46B4_9DB8_447FB9651E99_.wvu.FilterData" hidden="1">#REF!</definedName>
    <definedName name="Z_EC73F126_448D_4348_A573_3BC24AC8795A_.wvu.FilterData" hidden="1">#REF!</definedName>
    <definedName name="Z_EE2FF224_EB99_4F66_89A5_BA724EA24427_.wvu.FilterData" hidden="1">#REF!</definedName>
    <definedName name="Z_EE59C669_DD06_4D54_A54F_AB6454CED5F7_.wvu.FilterData" hidden="1">#REF!</definedName>
    <definedName name="Z_EEB39A19_0FC3_44FD_AFD3_08049C71CA5C_.wvu.FilterData" hidden="1">#REF!</definedName>
    <definedName name="Z_EF0F7889_2C1E_4238_8B7B_8D0D4B99295B_.wvu.FilterData" hidden="1">#REF!</definedName>
    <definedName name="Z_F0BEE053_CC9E_4B75_A7ED_8354A3C87E6D_.wvu.FilterData" hidden="1">#REF!</definedName>
    <definedName name="Z_F1763C82_6D53_4E59_B1FD_6E1B32681758_.wvu.FilterData" hidden="1">#REF!</definedName>
    <definedName name="Z_F1CE2A21_7959_4814_864C_012B7B1A049F_.wvu.Rows" hidden="1">#REF!</definedName>
    <definedName name="Z_F2091873_10D4_489F_B19B_F2EFD09E7524_.wvu.FilterData" hidden="1">#REF!</definedName>
    <definedName name="Z_F35BBA14_C940_4E05_8D2F_8EF2382BD8E9_.wvu.FilterData" hidden="1">#REF!</definedName>
    <definedName name="Z_F6A8A1D4_2E27_4066_BF73_DF05C2A1BE54_.wvu.FilterData" hidden="1">#REF!</definedName>
    <definedName name="Z_F6F91436_DB8C_43B9_9601_ADA87F20DA85_.wvu.FilterData" hidden="1">#REF!</definedName>
    <definedName name="Z_F9D42F6D_FBB8_4347_9609_09FB930659C7_.wvu.FilterData" hidden="1">#REF!</definedName>
    <definedName name="Z_FA249B36_5B5A_4A16_9895_DFF5A4371322_.wvu.FilterData" hidden="1">#REF!</definedName>
    <definedName name="Z_FA2BA62A_D02C_47A4_B101_F560E4F5A890_.wvu.FilterData" hidden="1">#REF!</definedName>
    <definedName name="Z_FAE2F684_3BFD_4D9A_A781_817E0C770D03_.wvu.FilterData" hidden="1">#REF!</definedName>
    <definedName name="Z_FB4DC09B_2939_4303_BE5F_7A353FD7CA56_.wvu.FilterData" hidden="1">#REF!</definedName>
    <definedName name="Z_FE91E8DA_1017_4CBC_AA5E_26CB5F0FC9EA_.wvu.FilterData" hidden="1">#REF!</definedName>
    <definedName name="Z_FEC78678_1464_4166_9FC6_867AD5962476_.wvu.FilterData" hidden="1">#REF!</definedName>
    <definedName name="zx">{"'장비'!$A$3:$M$12"}</definedName>
    <definedName name="zx_1">{"'장비'!$A$3:$M$12"}</definedName>
    <definedName name="zx_2">{"'장비'!$A$3:$M$12"}</definedName>
    <definedName name="π">PI()</definedName>
    <definedName name="аааа">#REF!</definedName>
    <definedName name="ап">{#N/A,#N/A,TRUE,"Смета на пасс. обор. №1"}</definedName>
    <definedName name="апара">{"IASTrail",#N/A,FALSE,"IAS"}</definedName>
    <definedName name="аыца">{"IASTrail",#N/A,FALSE,"IAS"}</definedName>
    <definedName name="бол">{#N/A,#N/A,TRUE,"Смета на пасс. обор. №1"}</definedName>
    <definedName name="вап">{#N/A,#N/A,TRUE,"Смета на пасс. обор. №1"}</definedName>
    <definedName name="вапро">{#N/A,#N/A,FALSE,"Шаблон_Спец1"}</definedName>
    <definedName name="вау">{#N/A,#N/A,FALSE,"1 квартал"}</definedName>
    <definedName name="ВАХ">{#N/A,#N/A,FALSE,"Акт-Смета"}</definedName>
    <definedName name="Вахты">{#N/A,#N/A,FALSE,"Акт-Смета"}</definedName>
    <definedName name="Выручка">{"print95",#N/A,FALSE,"1995E.XLS";"print96",#N/A,FALSE,"1996E.XLS"}</definedName>
    <definedName name="ггг">{#N/A,#N/A,FALSE,"Шаблон_Спец1"}</definedName>
    <definedName name="гф">{#N/A,#N/A,FALSE,"Акт-Смета"}</definedName>
    <definedName name="гэ">{#N/A,#N/A,TRUE,"Транспорт";#N/A,#N/A,TRUE,"Оклад"}</definedName>
    <definedName name="ддддд">{"BS1",#N/A,TRUE,"RSA_FS";"BS2",#N/A,TRUE,"RSA_FS";"BS3",#N/A,TRUE,"RSA_FS"}</definedName>
    <definedName name="дддддд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джэ">{#N/A,#N/A,TRUE,"Смета на пасс. обор. №1"}</definedName>
    <definedName name="диагн">{#N/A,#N/A,FALSE,"Infl_fact"}</definedName>
    <definedName name="Диагностика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доп">{#N/A,#N/A,TRUE,"Смета на пасс. обор. №1"}</definedName>
    <definedName name="еек">{"AnalRSA",#N/A,TRUE,"PL-Anal";"AnalIAS",#N/A,TRUE,"PL-Anal"}</definedName>
    <definedName name="жю">{#N/A,#N/A,TRUE,"Смета на пасс. обор. №1"}</definedName>
    <definedName name="з">#REF!</definedName>
    <definedName name="зщ">{#N/A,#N/A,TRUE,"Смета на пасс. обор. №1"}</definedName>
    <definedName name="й11111">{#N/A,#N/A,FALSE,"1 квартал"}</definedName>
    <definedName name="ййй">{#N/A,#N/A,FALSE,"Акт-Смета"}</definedName>
    <definedName name="йцк">{#N/A,#N/A,FALSE,"1 квартал"}</definedName>
    <definedName name="йцуцйу">{#N/A,#N/A,FALSE,"HO Sum";#N/A,#N/A,FALSE,"HO Rates";#N/A,#N/A,FALSE,"Co Sum";#N/A,#N/A,FALSE,"Clients Office";#N/A,#N/A,FALSE,"Field Sum";#N/A,#N/A,FALSE,"Field Rates"}</definedName>
    <definedName name="Кв4">{#N/A,#N/A,FALSE,"1 квартал"}</definedName>
    <definedName name="Кипр">#REF!</definedName>
    <definedName name="команд." hidden="1">{#N/A,#N/A,TRUE,"Смета на пасс. обор. №1"}</definedName>
    <definedName name="команд.обуч." hidden="1">{#N/A,#N/A,TRUE,"Смета на пасс. обор. №1"}</definedName>
    <definedName name="консервация">{#N/A,#N/A,FALSE,"1 квартал"}</definedName>
    <definedName name="копия">{#N/A,#N/A,TRUE,"MAP";#N/A,#N/A,TRUE,"STEPS";#N/A,#N/A,TRUE,"RULES"}</definedName>
    <definedName name="КП23">#REF!</definedName>
    <definedName name="лаб">{#N/A,#N/A,FALSE,"Акт-Смета"}</definedName>
    <definedName name="лаборатория">{#N/A,#N/A,FALSE,"Акт-Смета"}</definedName>
    <definedName name="лдж">{#N/A,#N/A,TRUE,"Смета на пасс. обор. №1"}</definedName>
    <definedName name="ллл">{"print95",#N/A,FALSE,"1995E.XLS";"print96",#N/A,FALSE,"1996E.XLS"}</definedName>
    <definedName name="лор">{#N/A,#N/A,TRUE,"Смета на пасс. обор. №1"}</definedName>
    <definedName name="лот">{#N/A,#N/A,TRUE,"Смета на пасс. обор. №1"}</definedName>
    <definedName name="мир">{#N/A,#N/A,TRUE,"Смета на пасс. обор. №1"}</definedName>
    <definedName name="ммм">{#N/A,#N/A,FALSE,"Акт-Смета"}</definedName>
    <definedName name="мммм">{#N/A,#N/A,FALSE,"Акт-Смета"}</definedName>
    <definedName name="новый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о61005">{"print95",#N/A,FALSE,"1995E.XLS";"print96",#N/A,FALSE,"1996E.XLS"}</definedName>
    <definedName name="ОБД">{#N/A,#N/A,FALSE,"1 квартал"}</definedName>
    <definedName name="обуч">{#N/A,#N/A,TRUE,"Смета на пасс. обор. №1"}</definedName>
    <definedName name="Объемы">#REF!</definedName>
    <definedName name="ОВМ">#REF!</definedName>
    <definedName name="ог">{#N/A,#N/A,TRUE,"Смета на пасс. обор. №1"}</definedName>
    <definedName name="олд">{#N/A,#N/A,TRUE,"Смета на пасс. обор. №1"}</definedName>
    <definedName name="от">{#N/A,#N/A,TRUE,"Смета на пасс. обор. №1"}</definedName>
    <definedName name="отч.июнь" hidden="1">#REF!</definedName>
    <definedName name="павел">{"IASTrail",#N/A,FALSE,"IAS"}</definedName>
    <definedName name="пвпвп">{#N/A,#N/A,FALSE,"1 квартал"}</definedName>
    <definedName name="Переезды">{#N/A,#N/A,FALSE,"Акт-Смета"}</definedName>
    <definedName name="пор">{#N/A,#N/A,TRUE,"Смета на пасс. обор. №1"}</definedName>
    <definedName name="пппп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ппппп">{"AnalRSA",#N/A,TRUE,"PL-Anal";"AnalIAS",#N/A,TRUE,"PL-Anal"}</definedName>
    <definedName name="про">{#N/A,#N/A,TRUE,"Смета на пасс. обор. №1"}</definedName>
    <definedName name="пропоп">{"AnalRSA",#N/A,TRUE,"PL-Anal";"AnalIAS",#N/A,TRUE,"PL-Anal"}</definedName>
    <definedName name="ПЭП">{#N/A,#N/A,FALSE,"1 квартал"}</definedName>
    <definedName name="рара">{#N/A,#N/A,FALSE,"1 квартал"}</definedName>
    <definedName name="рарав">{#N/A,#N/A,FALSE,"1 квартал"}</definedName>
    <definedName name="расшифровка">#REF!</definedName>
    <definedName name="реал">#REF!</definedName>
    <definedName name="реализация">#REF!</definedName>
    <definedName name="рол">{#N/A,#N/A,TRUE,"Смета на пасс. обор. №1"}</definedName>
    <definedName name="ропа">{"GAS FRONT",#N/A,TRUE,"FRONT";"NATURAL GAS",#N/A,TRUE,"NOI";"GAS PROD MGN",#N/A,TRUE,"PROD MGN";"NAT GAS COGS",#N/A,TRUE,"COGS";"GAS EXP",#N/A,TRUE,"EXPENSES";"GAS VOLS",#N/A,TRUE,"VOLUME"}</definedName>
    <definedName name="рр">{#N/A,#N/A,TRUE,"Смета на пасс. обор. №1"}</definedName>
    <definedName name="рррр">{"AnalRSA",#N/A,TRUE,"PL-Anal";"AnalIAS",#N/A,TRUE,"PL-Anal"}</definedName>
    <definedName name="сам">{#N/A,#N/A,TRUE,"Смета на пасс. обор. №1"}</definedName>
    <definedName name="Сводная">{#N/A,#N/A,FALSE,"Акт-Смета"}</definedName>
    <definedName name="секвестирование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мет">{#N/A,#N/A,TRUE,"Смета на пасс. обор. №1"}</definedName>
    <definedName name="Соловьев1">#REF!</definedName>
    <definedName name="сопт">{#N/A,#N/A,FALSE,"Акт-Смета"}</definedName>
    <definedName name="сс">{#N/A,#N/A,TRUE,"Смета на пасс. обор. №1"}</definedName>
    <definedName name="ТОПОГРАФ." hidden="1">#REF!</definedName>
    <definedName name="трп">{#N/A,#N/A,TRUE,"Смета на пасс. обор. №1"}</definedName>
    <definedName name="ттт">{#N/A,#N/A,FALSE,"Акт-Смета"}</definedName>
    <definedName name="ТЭП">#REF!</definedName>
    <definedName name="ук">{#N/A,#N/A,TRUE,"Смета на пасс. обор. №1"}</definedName>
    <definedName name="УУ_МНПЗ">#REF!</definedName>
    <definedName name="УУ_ОНПЗ">#REF!</definedName>
    <definedName name="УУ2">#REF!</definedName>
    <definedName name="уы">{#N/A,#N/A,TRUE,"Смета на пасс. обор. №1"}</definedName>
    <definedName name="ф">#REF!</definedName>
    <definedName name="ф.2" hidden="1">#REF!</definedName>
    <definedName name="Ф1523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Ф5.4С" hidden="1">{"print95",#N/A,FALSE,"1995E.XLS";"print96",#N/A,FALSE,"1996E.XLS"}</definedName>
    <definedName name="фильтр">#REF!</definedName>
    <definedName name="ффф">{#N/A,#N/A,FALSE,"Шаблон_Спец1"}</definedName>
    <definedName name="ффффф">{#N/A,#N/A,FALSE,"Шаблон_Спец1"}</definedName>
    <definedName name="фыв">{#N/A,#N/A,TRUE,"Смета на пасс. обор. №1"}</definedName>
    <definedName name="фыф">{#N/A,#N/A,FALSE,"Шаблон_Спец1"}</definedName>
    <definedName name="х">#REF!</definedName>
    <definedName name="ххх">{"print95",#N/A,FALSE,"1995E.XLS";"print96",#N/A,FALSE,"1996E.XLS"}</definedName>
    <definedName name="хэ">{#N/A,#N/A,TRUE,"Смета на пасс. обор. №1"}</definedName>
    <definedName name="цвет">{#N/A,#N/A,TRUE,"Смета на пасс. обор. №1"}</definedName>
    <definedName name="цуйцуцйув">{#N/A,#N/A,FALSE,"Шаблон_Спец1"}</definedName>
    <definedName name="ццу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цц">{#N/A,#N/A,FALSE,"Шаблон_Спец1"}</definedName>
    <definedName name="ццццц">{#N/A,#N/A,FALSE,"Шаблон_Спец1"}</definedName>
    <definedName name="ччч">{#N/A,#N/A,FALSE,"Шаблон_Спец1"}</definedName>
    <definedName name="ыва">{#N/A,#N/A,TRUE,"Смета на пасс. обор. №1"}</definedName>
    <definedName name="ыыы">{#N/A,#N/A,FALSE,"Шаблон_Спец1"}</definedName>
    <definedName name="ыыыы">{#N/A,#N/A,FALSE,"Шаблон_Спец1"}</definedName>
    <definedName name="ыыыыы">{#N/A,#N/A,FALSE,"Шаблон_Спец1"}</definedName>
    <definedName name="ыыыыыы">{#N/A,#N/A,FALSE,"Шаблон_Спец1"}</definedName>
    <definedName name="ыыыыыыыы">{#N/A,#N/A,FALSE,"Шаблон_Спец1"}</definedName>
    <definedName name="Экспер.отчета" hidden="1">{#N/A,#N/A,FALSE,"Акт-Смета"}</definedName>
    <definedName name="эл">{#N/A,#N/A,TRUE,"Смета на пасс. обор. №1"}</definedName>
    <definedName name="юрубчен_">{#N/A,#N/A,FALSE,"Акт-Смета"}</definedName>
    <definedName name="ююю">{#N/A,#N/A,TRUE,"Смета на пасс. обор. №1"}</definedName>
    <definedName name="январь">#REF!</definedName>
    <definedName name="ячсвивыкр">{#N/A,#N/A,FALSE,"Шаблон_Спец1"}</definedName>
    <definedName name="яя">{#N/A,#N/A,FALSE,"Акт-Смета"}</definedName>
    <definedName name="яяя">{#N/A,#N/A,FALSE,"Шаблон_Спец1"}</definedName>
    <definedName name="견적LIST">Dlog_Show</definedName>
    <definedName name="견적내역">{"'OVEN시방 '!$A$1:$C$11"}</definedName>
    <definedName name="견적내역_1">{"'OVEN시방 '!$A$1:$C$11"}</definedName>
    <definedName name="견적내역_2">{"'OVEN시방 '!$A$1:$C$11"}</definedName>
    <definedName name="견적품의서">{"'장비'!$A$3:$M$12"}</definedName>
    <definedName name="견적품의서_1">{"'장비'!$A$3:$M$12"}</definedName>
    <definedName name="견적품의서_2">{"'장비'!$A$3:$M$12"}</definedName>
    <definedName name="견적품의서1">{"'장비'!$A$3:$M$12"}</definedName>
    <definedName name="견적품의서1_1">{"'장비'!$A$3:$M$12"}</definedName>
    <definedName name="견적품의서1_2">{"'장비'!$A$3:$M$12"}</definedName>
    <definedName name="고양시성라공원">Dlog_Show</definedName>
    <definedName name="고유황">650</definedName>
    <definedName name="고케">70455</definedName>
    <definedName name="기계3">BlankMacro1</definedName>
    <definedName name="기구조직표">{"'장비'!$A$3:$M$12"}</definedName>
    <definedName name="기구조직표_1">{"'장비'!$A$3:$M$12"}</definedName>
    <definedName name="기구조직표_2">{"'장비'!$A$3:$M$12"}</definedName>
    <definedName name="내선">49296</definedName>
    <definedName name="내역서">Dlog_Show</definedName>
    <definedName name="ㄹㅇㄴ">{"'Sheet1'!$L$16"}</definedName>
    <definedName name="ㄹㅇㄴ_1">{"'Sheet1'!$L$16"}</definedName>
    <definedName name="ㄹㅇㄴ_2">{"'Sheet1'!$L$16"}</definedName>
    <definedName name="뭉">{"'장비'!$A$3:$M$12"}</definedName>
    <definedName name="뭉_1">{"'장비'!$A$3:$M$12"}</definedName>
    <definedName name="뭉_2">{"'장비'!$A$3:$M$12"}</definedName>
    <definedName name="배전">182333</definedName>
    <definedName name="보통">34360</definedName>
    <definedName name="비계공">66149</definedName>
    <definedName name="비교표1">255</definedName>
    <definedName name="ㅅㄷ">{"'Sheet1'!$L$16"}</definedName>
    <definedName name="ㅅㄷ_1">{"'Sheet1'!$L$16"}</definedName>
    <definedName name="ㅅㄷ_2">{"'Sheet1'!$L$16"}</definedName>
    <definedName name="산출근거">BlankMacro1</definedName>
    <definedName name="설비내역서">{"'여수 청설 아파트&amp;상가 견적서'!$A$1:$J$10"}</definedName>
    <definedName name="손료">5015</definedName>
    <definedName name="스케줄보고_PM">{"'CATALO(8)'!$B$1:$G$49"}</definedName>
    <definedName name="스케줄보고_PM_1">{"'CATALO(8)'!$B$1:$G$49"}</definedName>
    <definedName name="스케줄보고_PM_2">{"'CATALO(8)'!$B$1:$G$49"}</definedName>
    <definedName name="아파트내역2">{"'Sheet1'!$A$4:$M$21","'Sheet1'!$J$17:$K$19"}</definedName>
    <definedName name="울">{"'여수 청설 아파트&amp;상가 견적서'!$A$1:$J$10"}</definedName>
    <definedName name="이자율">0.125</definedName>
    <definedName name="이ㅓ니ㅣㅓㅇ">0</definedName>
    <definedName name="일위3">{"'OVEN시방 '!$A$1:$C$11"}</definedName>
    <definedName name="일위3_1">{"'OVEN시방 '!$A$1:$C$11"}</definedName>
    <definedName name="일위3_2">{"'OVEN시방 '!$A$1:$C$11"}</definedName>
    <definedName name="ㅈㅈ">{"'장비'!$A$3:$M$12"}</definedName>
    <definedName name="ㅈㅈ_1">{"'장비'!$A$3:$M$12"}</definedName>
    <definedName name="ㅈㅈ_2">{"'장비'!$A$3:$M$12"}</definedName>
    <definedName name="저케">62694</definedName>
    <definedName name="전기">{"'장비'!$A$3:$M$12"}</definedName>
    <definedName name="전기_1">{"'장비'!$A$3:$M$12"}</definedName>
    <definedName name="전기_2">{"'장비'!$A$3:$M$12"}</definedName>
    <definedName name="조수">43082</definedName>
    <definedName name="조정원">55245</definedName>
    <definedName name="ㅉㅉㅉㅉㅉ">{"'장비'!$A$3:$M$12"}</definedName>
    <definedName name="ㅉㅉㅉㅉㅉ_1">{"'장비'!$A$3:$M$12"}</definedName>
    <definedName name="ㅉㅉㅉㅉㅉ_2">{"'장비'!$A$3:$M$12"}</definedName>
    <definedName name="쪽쪽쪽">{"'장비'!$A$3:$M$12"}</definedName>
    <definedName name="쪽쪽쪽_1">{"'장비'!$A$3:$M$12"}</definedName>
    <definedName name="쪽쪽쪽_2">{"'장비'!$A$3:$M$12"}</definedName>
    <definedName name="추">{"'Sheet1'!$L$16"}</definedName>
    <definedName name="추_1">{"'Sheet1'!$L$16"}</definedName>
    <definedName name="추_2">{"'Sheet1'!$L$16"}</definedName>
    <definedName name="추가분">{"'장비'!$A$3:$M$12"}</definedName>
    <definedName name="추가분_1">{"'장비'!$A$3:$M$12"}</definedName>
    <definedName name="추가분_2">{"'장비'!$A$3:$M$12"}</definedName>
    <definedName name="템플리트모듈6">Dlog_Show</definedName>
    <definedName name="토건">{"'장비'!$A$3:$M$12"}</definedName>
    <definedName name="토건_1">{"'장비'!$A$3:$M$12"}</definedName>
    <definedName name="토건_2">{"'장비'!$A$3:$M$12"}</definedName>
    <definedName name="토건공사비대비r">{"'장비'!$A$3:$M$12"}</definedName>
    <definedName name="토건공사비대비r_1">{"'장비'!$A$3:$M$12"}</definedName>
    <definedName name="토건공사비대비r_2">{"'장비'!$A$3:$M$12"}</definedName>
    <definedName name="토건업체">{"'장비'!$A$3:$M$12"}</definedName>
    <definedName name="토건업체_1">{"'장비'!$A$3:$M$12"}</definedName>
    <definedName name="토건업체_2">{"'장비'!$A$3:$M$12"}</definedName>
    <definedName name="토건업체1">{"'장비'!$A$3:$M$12"}</definedName>
    <definedName name="토건업체1_1">{"'장비'!$A$3:$M$12"}</definedName>
    <definedName name="토건업체1_2">{"'장비'!$A$3:$M$12"}</definedName>
    <definedName name="토건집계표r">{"'장비'!$A$3:$M$12"}</definedName>
    <definedName name="토건집계표r_1">{"'장비'!$A$3:$M$12"}</definedName>
    <definedName name="토건집계표r_2">{"'장비'!$A$3:$M$12"}</definedName>
    <definedName name="토목변경">{"'장비'!$A$3:$M$12"}</definedName>
    <definedName name="토목변경_1">{"'장비'!$A$3:$M$12"}</definedName>
    <definedName name="토목변경_2">{"'장비'!$A$3:$M$12"}</definedName>
    <definedName name="토목실행예산">{"'장비'!$A$3:$M$12"}</definedName>
    <definedName name="토목실행예산_1">{"'장비'!$A$3:$M$12"}</definedName>
    <definedName name="토목실행예산_2">{"'장비'!$A$3:$M$12"}</definedName>
    <definedName name="토목조정분">{"'장비'!$A$3:$M$12"}</definedName>
    <definedName name="토목조정분_1">{"'장비'!$A$3:$M$12"}</definedName>
    <definedName name="토목조정분_2">{"'장비'!$A$3:$M$12"}</definedName>
    <definedName name="토목조정분1">{"'장비'!$A$3:$M$12"}</definedName>
    <definedName name="토목조정분1_1">{"'장비'!$A$3:$M$12"}</definedName>
    <definedName name="토목조정분1_2">{"'장비'!$A$3:$M$12"}</definedName>
    <definedName name="통내">56623</definedName>
    <definedName name="통케">83279</definedName>
    <definedName name="투찰예정가50">{"'장비'!$A$3:$M$12"}</definedName>
    <definedName name="투찰예정가50_1">{"'장비'!$A$3:$M$12"}</definedName>
    <definedName name="투찰예정가50_2">{"'장비'!$A$3:$M$12"}</definedName>
    <definedName name="투찰예정본부장">{"'장비'!$A$3:$M$12"}</definedName>
    <definedName name="투찰예정본부장_1">{"'장비'!$A$3:$M$12"}</definedName>
    <definedName name="투찰예정본부장_2">{"'장비'!$A$3:$M$12"}</definedName>
    <definedName name="특기사항">{"'장비'!$A$3:$M$12"}</definedName>
    <definedName name="특별">50160</definedName>
    <definedName name="특케">111738</definedName>
    <definedName name="플랜트">53292</definedName>
    <definedName name="한달">31</definedName>
    <definedName name="항">{"'Sheet1'!$L$16"}</definedName>
    <definedName name="항_1">{"'Sheet1'!$L$16"}</definedName>
    <definedName name="항_2">{"'Sheet1'!$L$16"}</definedName>
    <definedName name="ㅑㅅ">{"'Sheet1'!$L$16"}</definedName>
    <definedName name="ㅑㅅ_1">{"'Sheet1'!$L$16"}</definedName>
    <definedName name="ㅑㅅ_2">{"'Sheet1'!$L$16"}</definedName>
    <definedName name="ㅘ">{"'Sheet1'!$L$16"}</definedName>
    <definedName name="ㅘ_1">{"'Sheet1'!$L$16"}</definedName>
    <definedName name="ㅘ_2">{"'Sheet1'!$L$16"}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F12" i="1"/>
  <c r="E12" i="1"/>
  <c r="L11" i="1"/>
  <c r="K11" i="1"/>
  <c r="J11" i="1"/>
  <c r="I11" i="1"/>
  <c r="G11" i="1"/>
  <c r="F11" i="1"/>
  <c r="E11" i="1"/>
  <c r="J10" i="1"/>
  <c r="I10" i="1"/>
  <c r="K9" i="1"/>
  <c r="F9" i="1"/>
  <c r="E9" i="1"/>
  <c r="D9" i="1"/>
  <c r="J8" i="1"/>
  <c r="I8" i="1"/>
  <c r="J14" i="1"/>
  <c r="R14" i="1" s="1"/>
  <c r="J9" i="1"/>
  <c r="I9" i="1"/>
  <c r="L13" i="1"/>
  <c r="J7" i="1"/>
  <c r="I13" i="1"/>
  <c r="F13" i="1"/>
  <c r="D11" i="1"/>
  <c r="R21" i="1"/>
  <c r="R20" i="1"/>
  <c r="Q15" i="1"/>
  <c r="P15" i="1"/>
  <c r="O15" i="1"/>
  <c r="M15" i="1"/>
  <c r="S12" i="1"/>
  <c r="S9" i="1"/>
  <c r="L12" i="1" l="1"/>
  <c r="R11" i="1"/>
  <c r="K13" i="1"/>
  <c r="G13" i="1"/>
  <c r="G8" i="1"/>
  <c r="D10" i="1"/>
  <c r="K10" i="1"/>
  <c r="E13" i="1"/>
  <c r="E10" i="1"/>
  <c r="E8" i="1"/>
  <c r="K8" i="1"/>
  <c r="D13" i="1"/>
  <c r="N7" i="1"/>
  <c r="N15" i="1" s="1"/>
  <c r="N16" i="1" s="1"/>
  <c r="G10" i="1"/>
  <c r="F8" i="1"/>
  <c r="L10" i="1"/>
  <c r="F10" i="1"/>
  <c r="L8" i="1"/>
  <c r="H13" i="1"/>
  <c r="H15" i="1" s="1"/>
  <c r="H16" i="1" s="1"/>
  <c r="D12" i="1"/>
  <c r="J12" i="1"/>
  <c r="K15" i="1" l="1"/>
  <c r="K16" i="1" s="1"/>
  <c r="F15" i="1"/>
  <c r="F16" i="1" s="1"/>
  <c r="E15" i="1"/>
  <c r="E16" i="1" s="1"/>
  <c r="R10" i="1"/>
  <c r="R7" i="1"/>
  <c r="I12" i="1"/>
  <c r="I15" i="1" s="1"/>
  <c r="I16" i="1" s="1"/>
  <c r="D8" i="1"/>
  <c r="G12" i="1"/>
  <c r="L9" i="1"/>
  <c r="J13" i="1"/>
  <c r="J15" i="1" s="1"/>
  <c r="J16" i="1" s="1"/>
  <c r="G9" i="1"/>
  <c r="R12" i="1" l="1"/>
  <c r="G15" i="1"/>
  <c r="G16" i="1" s="1"/>
  <c r="R9" i="1"/>
  <c r="R13" i="1"/>
  <c r="R19" i="1"/>
  <c r="L15" i="1"/>
  <c r="L16" i="1" s="1"/>
  <c r="R18" i="1"/>
  <c r="R8" i="1"/>
  <c r="D15" i="1"/>
  <c r="D16" i="1" s="1"/>
  <c r="R15" i="1" l="1"/>
  <c r="R16" i="1" s="1"/>
  <c r="R22" i="1"/>
</calcChain>
</file>

<file path=xl/sharedStrings.xml><?xml version="1.0" encoding="utf-8"?>
<sst xmlns="http://schemas.openxmlformats.org/spreadsheetml/2006/main" count="180" uniqueCount="113">
  <si>
    <r>
      <rPr>
        <b/>
        <sz val="12"/>
        <color rgb="FF0070C0"/>
        <rFont val="Arial"/>
        <family val="2"/>
        <charset val="204"/>
      </rPr>
      <t>Производство графитированных электродов</t>
    </r>
    <r>
      <rPr>
        <b/>
        <sz val="12"/>
        <rFont val="Arial"/>
        <family val="2"/>
        <charset val="204"/>
      </rPr>
      <t xml:space="preserve">
</t>
    </r>
    <r>
      <rPr>
        <b/>
        <sz val="12"/>
        <color rgb="FF0070C0"/>
        <rFont val="Arial"/>
        <family val="2"/>
        <charset val="204"/>
      </rPr>
      <t>ООО «Газпромнефть - Графитек»</t>
    </r>
    <r>
      <rPr>
        <b/>
        <sz val="12"/>
        <rFont val="Arial"/>
        <family val="2"/>
        <charset val="204"/>
      </rPr>
      <t xml:space="preserve">
</t>
    </r>
    <r>
      <rPr>
        <b/>
        <sz val="12"/>
        <color rgb="FF0070C0"/>
        <rFont val="Arial"/>
        <family val="2"/>
        <charset val="204"/>
      </rPr>
      <t>г. Омск, Россия</t>
    </r>
    <r>
      <rPr>
        <b/>
        <sz val="12"/>
        <rFont val="Arial"/>
        <family val="2"/>
        <charset val="204"/>
      </rPr>
      <t xml:space="preserve">
</t>
    </r>
  </si>
  <si>
    <t>ПРАЙС-ЛИСТ НА МОНТАЖ ОБОРУДОВАНИЯ PS 6800</t>
  </si>
  <si>
    <t>Код единичной расценки</t>
  </si>
  <si>
    <t>Наименование единичных расценок</t>
  </si>
  <si>
    <t>Ед изм</t>
  </si>
  <si>
    <t>Объем общий</t>
  </si>
  <si>
    <t>Прямые трудозатраты 
(на единицу)</t>
  </si>
  <si>
    <t>0407.101 
(в составе 110 и 130)</t>
  </si>
  <si>
    <t>0407.120</t>
  </si>
  <si>
    <t>0407.150</t>
  </si>
  <si>
    <t>0407.200</t>
  </si>
  <si>
    <t>0407.220</t>
  </si>
  <si>
    <t>0407.230</t>
  </si>
  <si>
    <t>0407.300</t>
  </si>
  <si>
    <t>0407.421</t>
  </si>
  <si>
    <t>0407.423</t>
  </si>
  <si>
    <t>0407.790.1</t>
  </si>
  <si>
    <t>0407.790.2</t>
  </si>
  <si>
    <t>0407.910</t>
  </si>
  <si>
    <t>0407.920</t>
  </si>
  <si>
    <t>0407.930</t>
  </si>
  <si>
    <t>6811</t>
  </si>
  <si>
    <t>Монтаж оборудования поставляемое единым блоком</t>
  </si>
  <si>
    <t xml:space="preserve">Тонн </t>
  </si>
  <si>
    <t>6820</t>
  </si>
  <si>
    <t xml:space="preserve">Монтаж вертикального или горизонтального статического оборудования </t>
  </si>
  <si>
    <t>6831</t>
  </si>
  <si>
    <t>МОНТАЖ ОБОРУДОВАНИЯ С ОГНЕВЫМ ПОДОГРЕВОМ (ПЕЧИ И/ИЛИ БОЙЛЕРЫ) ПРЕДОСТАВЛЕННЫЕ ПОЛНОСТЬЮ СОБРАННЫМИ, ПРЕДВАРИТЕЛЬНО ПОДГОТОВЛЕННЫМИ И ПРЕДВАРИТЕЛЬНО СОБРАННЫМИ В БОЛЬШИХ СЕКЦИЯХ ИЛИ ТРЕБУЮЩИЕ ПРЕДВАРИТЕЛЬНОЙ ПОДГОТОВКИ И ДАЛЬНЕЙШЕЙ СБОРКИ НА РАБОЧЕМ МЕСТЕ</t>
  </si>
  <si>
    <t>6852</t>
  </si>
  <si>
    <t>Монтаж оборудования (насосы, компрессоры, вентиляторы, турбины, центрифуги, прессы, конвейеры и т.д)</t>
  </si>
  <si>
    <t>6870</t>
  </si>
  <si>
    <t>Монтаж воздушных охладителей</t>
  </si>
  <si>
    <t>6880.12</t>
  </si>
  <si>
    <t>Установки/системы, поставляемые отдельными единицами и блоками</t>
  </si>
  <si>
    <t>6880.13</t>
  </si>
  <si>
    <t>Краны мостовые, кран-балки и тали</t>
  </si>
  <si>
    <t>2521-01</t>
  </si>
  <si>
    <t>Монтаж резервуаров хранения методом рулонной сборки</t>
  </si>
  <si>
    <t>Итого по прайс-листу</t>
  </si>
  <si>
    <t>в т.ч.</t>
  </si>
  <si>
    <t>обор-е отд.ед</t>
  </si>
  <si>
    <t>ПЕЧИ</t>
  </si>
  <si>
    <t>РЕЗЕРВУАРЫ</t>
  </si>
  <si>
    <t>ПАКЕТЫ</t>
  </si>
  <si>
    <t>№ п/п</t>
  </si>
  <si>
    <t>ТИТУЛ</t>
  </si>
  <si>
    <t>ТАГОВЫЙ НОМЕР ОБОРУДОВАНИЯ</t>
  </si>
  <si>
    <t>НАИМЕНОВАНИЕ ОБОРУДОВАНИЯ
(РУССКИЙ)</t>
  </si>
  <si>
    <t>код ед.расценки</t>
  </si>
  <si>
    <t>ТЕХ. ХАРАКТЕРИСТИКИ</t>
  </si>
  <si>
    <t>КОЛ.</t>
  </si>
  <si>
    <t>ВЕС ЕДИНИЦЫ (кг)</t>
  </si>
  <si>
    <t>Всего масса, кг</t>
  </si>
  <si>
    <t>Всего масса, ТОННЫ</t>
  </si>
  <si>
    <t>Пневматический клапан/ PNEUMATIC VALVE</t>
  </si>
  <si>
    <t>Клапан с ручным управлением / MANUAL VALVE</t>
  </si>
  <si>
    <t>423-IC-101</t>
  </si>
  <si>
    <t>Инсинератор/ INCINERATOR</t>
  </si>
  <si>
    <t>Φ3.8×25m</t>
  </si>
  <si>
    <t>423-D-101</t>
  </si>
  <si>
    <t>Вентилятор/ FAN</t>
  </si>
  <si>
    <t>Q=5,000-5,500m3/h (м3/ч) P=2,500-3,000Pa (Па)</t>
  </si>
  <si>
    <t>423-HJ-101</t>
  </si>
  <si>
    <t>Горелка/ BURNER</t>
  </si>
  <si>
    <t xml:space="preserve">Q=1,100-1,200m3/h (м3/ч) </t>
  </si>
  <si>
    <t>423-VBA-101～3</t>
  </si>
  <si>
    <t>DN500</t>
  </si>
  <si>
    <t>423-VBA-104</t>
  </si>
  <si>
    <t>423-IC-201</t>
  </si>
  <si>
    <t>423-D-201</t>
  </si>
  <si>
    <t>Q=5,000-5,500m3/h (м3/ч)  P=2,500-3,000Pa</t>
  </si>
  <si>
    <t>423-HJ-201</t>
  </si>
  <si>
    <t>423-VBA-201～3</t>
  </si>
  <si>
    <t>423-VBA-204</t>
  </si>
  <si>
    <t>423-B-001A</t>
  </si>
  <si>
    <r>
      <rPr>
        <sz val="8"/>
        <rFont val="Arial Narrow"/>
        <family val="2"/>
        <charset val="204"/>
      </rPr>
      <t>Котел ВОТ</t>
    </r>
    <r>
      <rPr>
        <sz val="8"/>
        <rFont val="微软雅黑"/>
      </rPr>
      <t xml:space="preserve"> </t>
    </r>
    <r>
      <rPr>
        <sz val="8"/>
        <rFont val="Arial Narrow"/>
        <family val="2"/>
        <charset val="204"/>
      </rPr>
      <t>/</t>
    </r>
    <r>
      <rPr>
        <sz val="8"/>
        <rFont val="微软雅黑"/>
      </rPr>
      <t xml:space="preserve"> </t>
    </r>
    <r>
      <rPr>
        <sz val="8"/>
        <rFont val="Arial Narrow"/>
        <family val="2"/>
        <charset val="204"/>
      </rPr>
      <t>HTM Boiler</t>
    </r>
  </si>
  <si>
    <t>Q=4000kW
P=0.8MPa</t>
  </si>
  <si>
    <t>423-B-001B</t>
  </si>
  <si>
    <t>423-B-002A</t>
  </si>
  <si>
    <t>Q=5400kW
P=0.8MPa</t>
  </si>
  <si>
    <t>423-B-002B</t>
  </si>
  <si>
    <t>423-P-001A</t>
  </si>
  <si>
    <t>Насос для оборотной воды / Circulating Water Pump</t>
  </si>
  <si>
    <t>Q=160m3/h (м3/ч) 
P=0.8MPa</t>
  </si>
  <si>
    <t>423-P-001B</t>
  </si>
  <si>
    <t>423-P-001C</t>
  </si>
  <si>
    <r>
      <rPr>
        <sz val="8"/>
        <rFont val="Arial Narrow"/>
        <family val="2"/>
        <charset val="204"/>
      </rPr>
      <t xml:space="preserve">Насос для оборотной воды </t>
    </r>
    <r>
      <rPr>
        <sz val="8"/>
        <rFont val="Arial Narrow"/>
        <family val="2"/>
        <charset val="204"/>
      </rPr>
      <t>/ Circulating Water Pump</t>
    </r>
  </si>
  <si>
    <t>423-P-002A</t>
  </si>
  <si>
    <r>
      <rPr>
        <sz val="8"/>
        <rFont val="Arial Narrow"/>
        <family val="2"/>
        <charset val="204"/>
      </rPr>
      <t xml:space="preserve">Насос для восстановленной воды  </t>
    </r>
    <r>
      <rPr>
        <sz val="8"/>
        <rFont val="Arial Narrow"/>
        <family val="2"/>
        <charset val="204"/>
      </rPr>
      <t>/</t>
    </r>
    <r>
      <rPr>
        <sz val="8"/>
        <rFont val="微软雅黑"/>
      </rPr>
      <t xml:space="preserve"> D</t>
    </r>
    <r>
      <rPr>
        <sz val="8"/>
        <rFont val="Arial Narrow"/>
        <family val="2"/>
        <charset val="204"/>
      </rPr>
      <t>eoxidised Water Pump</t>
    </r>
  </si>
  <si>
    <t>Q=6m3/h (м3/ч) 
P=0.4MPa</t>
  </si>
  <si>
    <t>423-P-002B</t>
  </si>
  <si>
    <t>Q=6m3/h  (м3/ч) 
P=0.4MPa</t>
  </si>
  <si>
    <t>423-P-003A</t>
  </si>
  <si>
    <r>
      <rPr>
        <sz val="8"/>
        <rFont val="Arial Narrow"/>
        <family val="2"/>
        <charset val="204"/>
      </rPr>
      <t xml:space="preserve">Насос подпиточной воды для котла </t>
    </r>
    <r>
      <rPr>
        <sz val="8"/>
        <rFont val="Arial Narrow"/>
        <family val="2"/>
        <charset val="204"/>
      </rPr>
      <t>/</t>
    </r>
    <r>
      <rPr>
        <sz val="8"/>
        <rFont val="微软雅黑"/>
      </rPr>
      <t xml:space="preserve"> </t>
    </r>
    <r>
      <rPr>
        <sz val="8"/>
        <rFont val="Arial Narrow"/>
        <family val="2"/>
        <charset val="204"/>
      </rPr>
      <t>Make-up Water Pump for Boiler</t>
    </r>
  </si>
  <si>
    <t>423-P-003B</t>
  </si>
  <si>
    <t>423-WT-001A</t>
  </si>
  <si>
    <r>
      <rPr>
        <sz val="8"/>
        <rFont val="Arial Narrow"/>
        <family val="2"/>
        <charset val="204"/>
      </rPr>
      <t xml:space="preserve">Устройство для смягчения </t>
    </r>
    <r>
      <rPr>
        <sz val="8"/>
        <rFont val="Arial Narrow"/>
        <family val="2"/>
        <charset val="204"/>
      </rPr>
      <t>/</t>
    </r>
    <r>
      <rPr>
        <sz val="8"/>
        <rFont val="微软雅黑"/>
      </rPr>
      <t xml:space="preserve"> </t>
    </r>
    <r>
      <rPr>
        <sz val="8"/>
        <rFont val="Arial Narrow"/>
        <family val="2"/>
        <charset val="204"/>
      </rPr>
      <t>Softening Device</t>
    </r>
  </si>
  <si>
    <t>Q=5t/h (тонн/час)
P=0.6MPa</t>
  </si>
  <si>
    <t>423-WT-002A</t>
  </si>
  <si>
    <r>
      <rPr>
        <sz val="8"/>
        <rFont val="Arial Narrow"/>
        <family val="2"/>
        <charset val="204"/>
      </rPr>
      <t xml:space="preserve">Деаэратор </t>
    </r>
    <r>
      <rPr>
        <sz val="8"/>
        <rFont val="Arial Narrow"/>
        <family val="2"/>
        <charset val="204"/>
      </rPr>
      <t>/</t>
    </r>
    <r>
      <rPr>
        <sz val="8"/>
        <rFont val="微软雅黑"/>
      </rPr>
      <t xml:space="preserve"> </t>
    </r>
    <r>
      <rPr>
        <sz val="8"/>
        <rFont val="Arial Narrow"/>
        <family val="2"/>
        <charset val="204"/>
      </rPr>
      <t>Deaerator</t>
    </r>
  </si>
  <si>
    <t>Q=5m3/h (м3/ч) 
P=0.6MPa</t>
  </si>
  <si>
    <t>423-D-001A</t>
  </si>
  <si>
    <r>
      <rPr>
        <sz val="8"/>
        <rFont val="Arial Narrow"/>
        <family val="2"/>
        <charset val="204"/>
      </rPr>
      <t xml:space="preserve">Вентилятор с принудительной тягой </t>
    </r>
    <r>
      <rPr>
        <sz val="8"/>
        <rFont val="Arial Narrow"/>
        <family val="2"/>
        <charset val="204"/>
      </rPr>
      <t>/</t>
    </r>
    <r>
      <rPr>
        <sz val="8"/>
        <rFont val="微软雅黑"/>
      </rPr>
      <t xml:space="preserve"> </t>
    </r>
    <r>
      <rPr>
        <sz val="8"/>
        <rFont val="Arial Narrow"/>
        <family val="2"/>
        <charset val="204"/>
      </rPr>
      <t>Induced draft Fan</t>
    </r>
  </si>
  <si>
    <t>Q=40800m3/h (м3/ч) 
P=4200Pa</t>
  </si>
  <si>
    <t>423-D-001B</t>
  </si>
  <si>
    <t>423-TK-001A</t>
  </si>
  <si>
    <r>
      <rPr>
        <sz val="8"/>
        <rFont val="Arial Narrow"/>
        <family val="2"/>
        <charset val="204"/>
      </rPr>
      <t xml:space="preserve">Резервуар для умягченной воды </t>
    </r>
    <r>
      <rPr>
        <sz val="8"/>
        <rFont val="Arial Narrow"/>
        <family val="2"/>
        <charset val="204"/>
      </rPr>
      <t>/</t>
    </r>
    <r>
      <rPr>
        <sz val="8"/>
        <rFont val="微软雅黑"/>
      </rPr>
      <t xml:space="preserve"> </t>
    </r>
    <r>
      <rPr>
        <sz val="8"/>
        <rFont val="Arial Narrow"/>
        <family val="2"/>
        <charset val="204"/>
      </rPr>
      <t>Soften Water Tank</t>
    </r>
  </si>
  <si>
    <t>V=6m3</t>
  </si>
  <si>
    <t>423-GT-001A</t>
  </si>
  <si>
    <r>
      <rPr>
        <sz val="8"/>
        <rFont val="Arial Narrow"/>
        <family val="2"/>
        <charset val="204"/>
      </rPr>
      <t xml:space="preserve">Электрический подъемник </t>
    </r>
    <r>
      <rPr>
        <sz val="8"/>
        <rFont val="Arial Narrow"/>
        <family val="2"/>
        <charset val="204"/>
      </rPr>
      <t>/</t>
    </r>
    <r>
      <rPr>
        <sz val="8"/>
        <rFont val="微软雅黑"/>
      </rPr>
      <t xml:space="preserve"> </t>
    </r>
    <r>
      <rPr>
        <sz val="8"/>
        <rFont val="Arial Narrow"/>
        <family val="2"/>
        <charset val="204"/>
      </rPr>
      <t>Electric Hoist</t>
    </r>
  </si>
  <si>
    <t>T=5t H=6m</t>
  </si>
  <si>
    <t>423-GT-001B</t>
  </si>
  <si>
    <t>Объём ГСП-2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</si>
</sst>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-* #,##0\ _F_-;\-* #,##0\ _F_-;_-* &quot;-&quot;\ _F_-;_-@_-"/>
    <numFmt numFmtId="166" formatCode="0.00_)"/>
    <numFmt numFmtId="167" formatCode="_-* #,##0.00\ _₽_-;\-* #,##0.00\ _₽_-;_-* &quot;-&quot;??\ _₽_-;_-@_-"/>
    <numFmt numFmtId="168" formatCode="_-* #,##0.000\ _₽_-;\-* #,##0.000\ _₽_-;_-* &quot;-&quot;??\ _₽_-;_-@_-"/>
    <numFmt numFmtId="169" formatCode="_-* #,##0.000\ _₽_-;\-* #,##0.000\ _₽_-;_-* &quot;-&quot;???\ _₽_-;_-@_-"/>
    <numFmt numFmtId="170" formatCode="_-* #,##0_-;\-* #,##0_-;_-* &quot;-&quot;??_-;_-@_-"/>
    <numFmt numFmtId="171" formatCode="_-* #,##0.000_-;\-* #,##0.000_-;_-* &quot;-&quot;??_-;_-@_-"/>
  </numFmts>
  <fonts count="2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  <charset val="204"/>
    </font>
    <font>
      <b/>
      <sz val="12"/>
      <color rgb="FF0070C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b/>
      <i/>
      <sz val="11"/>
      <color rgb="FF000000"/>
      <name val="Arial"/>
      <family val="2"/>
      <charset val="204"/>
    </font>
    <font>
      <b/>
      <sz val="11"/>
      <name val="Arial"/>
      <family val="2"/>
      <charset val="204"/>
    </font>
    <font>
      <sz val="10"/>
      <name val="Courier"/>
      <family val="3"/>
    </font>
    <font>
      <sz val="11"/>
      <color rgb="FF000000"/>
      <name val="Arial"/>
      <family val="2"/>
      <charset val="204"/>
    </font>
    <font>
      <sz val="1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rgb="FFFF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b/>
      <sz val="8"/>
      <name val="Arial Narrow"/>
      <family val="2"/>
      <charset val="204"/>
    </font>
    <font>
      <sz val="8"/>
      <name val="Arial Narrow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theme="1"/>
      <name val="Arial Narrow"/>
      <family val="2"/>
      <charset val="204"/>
    </font>
    <font>
      <sz val="8"/>
      <name val="微软雅黑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0" fontId="2" fillId="0" borderId="0"/>
    <xf numFmtId="165" fontId="10" fillId="0" borderId="0"/>
    <xf numFmtId="16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0" xfId="2" applyFont="1" applyAlignment="1">
      <alignment vertical="center" wrapText="1"/>
    </xf>
    <xf numFmtId="0" fontId="2" fillId="0" borderId="0" xfId="2"/>
    <xf numFmtId="0" fontId="5" fillId="0" borderId="0" xfId="2" applyFont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0" fontId="6" fillId="0" borderId="0" xfId="2" applyFont="1"/>
    <xf numFmtId="0" fontId="9" fillId="0" borderId="0" xfId="2" applyFont="1"/>
    <xf numFmtId="166" fontId="9" fillId="2" borderId="5" xfId="3" applyNumberFormat="1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49" fontId="11" fillId="3" borderId="4" xfId="2" applyNumberFormat="1" applyFont="1" applyFill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center" wrapText="1"/>
    </xf>
    <xf numFmtId="0" fontId="11" fillId="0" borderId="5" xfId="2" applyFont="1" applyBorder="1" applyAlignment="1">
      <alignment horizontal="center" vertical="center" wrapText="1"/>
    </xf>
    <xf numFmtId="167" fontId="11" fillId="0" borderId="5" xfId="1" applyNumberFormat="1" applyFont="1" applyBorder="1" applyAlignment="1">
      <alignment horizontal="center" vertical="center" wrapText="1"/>
    </xf>
    <xf numFmtId="167" fontId="12" fillId="0" borderId="5" xfId="1" applyNumberFormat="1" applyFont="1" applyFill="1" applyBorder="1" applyAlignment="1">
      <alignment horizontal="center" vertical="center" wrapText="1"/>
    </xf>
    <xf numFmtId="167" fontId="13" fillId="4" borderId="5" xfId="1" applyFont="1" applyFill="1" applyBorder="1" applyAlignment="1">
      <alignment vertical="center"/>
    </xf>
    <xf numFmtId="0" fontId="14" fillId="0" borderId="0" xfId="2" applyFont="1"/>
    <xf numFmtId="167" fontId="15" fillId="5" borderId="5" xfId="1" applyFont="1" applyFill="1" applyBorder="1" applyAlignment="1">
      <alignment vertical="center"/>
    </xf>
    <xf numFmtId="167" fontId="13" fillId="5" borderId="5" xfId="1" applyFont="1" applyFill="1" applyBorder="1" applyAlignment="1">
      <alignment vertical="center"/>
    </xf>
    <xf numFmtId="168" fontId="7" fillId="3" borderId="6" xfId="1" applyNumberFormat="1" applyFont="1" applyFill="1" applyBorder="1" applyAlignment="1">
      <alignment horizontal="center" vertical="center" wrapText="1"/>
    </xf>
    <xf numFmtId="168" fontId="7" fillId="0" borderId="7" xfId="1" applyNumberFormat="1" applyFont="1" applyBorder="1" applyAlignment="1">
      <alignment horizontal="left" vertical="center" wrapText="1"/>
    </xf>
    <xf numFmtId="168" fontId="16" fillId="0" borderId="7" xfId="1" applyNumberFormat="1" applyFont="1" applyBorder="1"/>
    <xf numFmtId="167" fontId="16" fillId="0" borderId="7" xfId="1" applyNumberFormat="1" applyFont="1" applyBorder="1" applyAlignment="1">
      <alignment vertical="center"/>
    </xf>
    <xf numFmtId="167" fontId="9" fillId="6" borderId="7" xfId="1" applyNumberFormat="1" applyFont="1" applyFill="1" applyBorder="1" applyAlignment="1">
      <alignment vertical="center"/>
    </xf>
    <xf numFmtId="168" fontId="16" fillId="0" borderId="7" xfId="1" applyNumberFormat="1" applyFont="1" applyBorder="1" applyAlignment="1">
      <alignment vertical="center"/>
    </xf>
    <xf numFmtId="168" fontId="16" fillId="0" borderId="0" xfId="1" applyNumberFormat="1" applyFont="1"/>
    <xf numFmtId="167" fontId="2" fillId="0" borderId="0" xfId="2" applyNumberFormat="1"/>
    <xf numFmtId="169" fontId="2" fillId="0" borderId="0" xfId="2" applyNumberFormat="1"/>
    <xf numFmtId="167" fontId="2" fillId="0" borderId="0" xfId="2" applyNumberFormat="1" applyFill="1"/>
    <xf numFmtId="167" fontId="17" fillId="6" borderId="0" xfId="1" applyFont="1" applyFill="1"/>
    <xf numFmtId="167" fontId="2" fillId="0" borderId="0" xfId="1"/>
    <xf numFmtId="0" fontId="2" fillId="0" borderId="0" xfId="2" applyFill="1"/>
    <xf numFmtId="0" fontId="0" fillId="0" borderId="0" xfId="0" applyFill="1" applyBorder="1" applyAlignment="1">
      <alignment vertical="center"/>
    </xf>
    <xf numFmtId="0" fontId="20" fillId="0" borderId="5" xfId="0" applyFont="1" applyFill="1" applyBorder="1" applyAlignment="1">
      <alignment horizontal="center" vertical="center"/>
    </xf>
    <xf numFmtId="170" fontId="22" fillId="0" borderId="5" xfId="4" applyNumberFormat="1" applyFont="1" applyFill="1" applyBorder="1" applyAlignment="1" applyProtection="1">
      <alignment horizontal="center" vertical="center"/>
      <protection locked="0"/>
    </xf>
    <xf numFmtId="170" fontId="20" fillId="0" borderId="5" xfId="4" applyNumberFormat="1" applyFont="1" applyFill="1" applyBorder="1" applyAlignment="1">
      <alignment horizontal="center" vertical="center"/>
    </xf>
    <xf numFmtId="171" fontId="20" fillId="0" borderId="5" xfId="4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 applyProtection="1">
      <alignment horizontal="center" vertical="center" wrapText="1"/>
      <protection locked="0"/>
    </xf>
    <xf numFmtId="0" fontId="21" fillId="0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 applyProtection="1">
      <alignment horizontal="center" vertical="center" wrapText="1"/>
      <protection locked="0"/>
    </xf>
    <xf numFmtId="170" fontId="20" fillId="0" borderId="5" xfId="4" applyNumberFormat="1" applyFont="1" applyFill="1" applyBorder="1" applyAlignment="1" applyProtection="1">
      <alignment horizontal="center" vertical="center"/>
      <protection locked="0"/>
    </xf>
    <xf numFmtId="170" fontId="20" fillId="0" borderId="5" xfId="4" applyNumberFormat="1" applyFont="1" applyBorder="1" applyAlignment="1">
      <alignment horizontal="center" vertical="center"/>
    </xf>
    <xf numFmtId="170" fontId="20" fillId="0" borderId="5" xfId="4" applyNumberFormat="1" applyFont="1" applyBorder="1" applyAlignment="1" applyProtection="1">
      <alignment horizontal="center" vertical="center"/>
      <protection locked="0"/>
    </xf>
    <xf numFmtId="170" fontId="22" fillId="0" borderId="5" xfId="4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left" vertical="top" wrapText="1"/>
    </xf>
    <xf numFmtId="0" fontId="7" fillId="2" borderId="1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70" fontId="19" fillId="0" borderId="5" xfId="4" applyNumberFormat="1" applyFont="1" applyBorder="1" applyAlignment="1">
      <alignment horizontal="center" vertical="center" wrapText="1"/>
    </xf>
    <xf numFmtId="170" fontId="19" fillId="0" borderId="8" xfId="4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</cellXfs>
  <cellStyles count="6">
    <cellStyle name="Normale_XXPS1500e last rev" xfId="3" xr:uid="{00000000-0005-0000-0000-000000000000}"/>
    <cellStyle name="Обычный" xfId="0" builtinId="0"/>
    <cellStyle name="Обычный 16 2 18" xfId="2" xr:uid="{00000000-0005-0000-0000-000002000000}"/>
    <cellStyle name="Обычный 2" xfId="5" xr:uid="{00000000-0005-0000-0000-000003000000}"/>
    <cellStyle name="Финансовый" xfId="1" builtinId="3"/>
    <cellStyle name="Финансовый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CD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aly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pain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pan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#&#1057;&#1057;&#1067;&#1051;&#1050;&#1040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ploration%20Cost%20centres%20NG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R_NoRangeSheet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cm.daelim.co.kr/&#44592;&#44228;/&#54644;&#50808;/01%20&#44204;&#51201;/01%20&#54868;&#44277;/RUSSIA/150182%20OMSK%20Refinery%20Project/05%20BM/for%20GCC_2017/FF/OMSK%20Refinery_FF%20BM%20for%20GCC_Rev%20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cm.daelim.co.kr/Users/20130571/AppData/Local/Microsoft/Windows/Temporary%20Internet%20Files/Content.Outlook/EWDW6F2Q/Omsk%20BOQ_for%20GCC%20Bill%20of%20Quantity_Rev2_20170607%20&#49569;&#48512;&#50857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egaev.av/Downloads/&#1053;&#1052;&#1062;%20&#1043;&#1057;&#1055;-2%2003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EC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aly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pan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ССЫЛКА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loration Cost centres NG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COVER"/>
      <sheetName val="REVISION LOG"/>
      <sheetName val="BOM"/>
      <sheetName val="INPUT_TABLE"/>
      <sheetName val="TOTAL"/>
      <sheetName val="на 1 тут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DEMOLITION PIPING WORK</v>
          </cell>
          <cell r="K4" t="str">
            <v>SET</v>
          </cell>
        </row>
        <row r="5">
          <cell r="A5" t="str">
            <v>FF OTHERS</v>
          </cell>
          <cell r="K5" t="str">
            <v>LOT</v>
          </cell>
        </row>
        <row r="6">
          <cell r="A6" t="str">
            <v>FIRE EXTINGUISHER AND SAFETY EQUIPMENT</v>
          </cell>
          <cell r="K6" t="str">
            <v>EA</v>
          </cell>
        </row>
        <row r="7">
          <cell r="A7" t="str">
            <v>FIRE FIGHTING EQUIPMENT</v>
          </cell>
          <cell r="K7" t="str">
            <v>M</v>
          </cell>
        </row>
        <row r="8">
          <cell r="A8" t="str">
            <v>FIRE WATER PUMP PIPING WORK</v>
          </cell>
        </row>
        <row r="9">
          <cell r="A9" t="str">
            <v>FIRE WATER PUMP SYSTEM</v>
          </cell>
        </row>
        <row r="10">
          <cell r="A10" t="str">
            <v>FOAM SYSTEM</v>
          </cell>
        </row>
        <row r="11">
          <cell r="A11" t="str">
            <v>FOAM SYSTEM PIPING WORK</v>
          </cell>
        </row>
        <row r="12">
          <cell r="A12" t="str">
            <v>GAS SUPPRESSION PIPING WORK</v>
          </cell>
        </row>
        <row r="13">
          <cell r="A13" t="str">
            <v>GAS SUPPRESSION SYSTEM</v>
          </cell>
        </row>
        <row r="14">
          <cell r="A14" t="str">
            <v>HOSE REEL SYSTEM</v>
          </cell>
        </row>
        <row r="15">
          <cell r="A15" t="str">
            <v>HOSE REEL SYSTEM PIPING WORK</v>
          </cell>
        </row>
        <row r="16">
          <cell r="A16" t="str">
            <v>INDOOR HYDRANT SYSTEM</v>
          </cell>
        </row>
        <row r="17">
          <cell r="A17" t="str">
            <v>INDOOR HYDRANT SYSTEM PIPING WORK</v>
          </cell>
        </row>
        <row r="18">
          <cell r="A18" t="str">
            <v>SEISMIC SYSTEM PIPING WORK</v>
          </cell>
        </row>
        <row r="19">
          <cell r="A19" t="str">
            <v>SPRINKLER SYSTEM</v>
          </cell>
        </row>
        <row r="20">
          <cell r="A20" t="str">
            <v>SPRINKLER SYSTEM PIPING WORK</v>
          </cell>
        </row>
        <row r="21">
          <cell r="A21" t="str">
            <v>STAND PIPE SYSTEM</v>
          </cell>
        </row>
        <row r="22">
          <cell r="A22" t="str">
            <v>STAND PIPE SYSTEM PIPING WORK</v>
          </cell>
        </row>
        <row r="23">
          <cell r="A23" t="str">
            <v>VEHICLE</v>
          </cell>
        </row>
        <row r="24">
          <cell r="A24" t="str">
            <v>WATER MIST SYSTEM</v>
          </cell>
        </row>
        <row r="25">
          <cell r="A25" t="str">
            <v>WATER MIST SYSTEM PIPING WORK</v>
          </cell>
        </row>
        <row r="26">
          <cell r="A26" t="str">
            <v>WATER SPRAY SYSTEM</v>
          </cell>
        </row>
        <row r="27">
          <cell r="A27" t="str">
            <v>WATER SPRAY SYSTEM PIPING WORK</v>
          </cell>
        </row>
      </sheetData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2.1 Buildings Total PS-2000"/>
      <sheetName val="13.2.2 Civil (PS-1700-01)"/>
      <sheetName val="13.2.1.1 Buildings details (а)"/>
      <sheetName val="13.2.1.2 HVAC (b)"/>
      <sheetName val="13.2.1.3 FF Indoor (g)"/>
      <sheetName val="13.2.3 Piping_Shop(PS-1300-00)"/>
      <sheetName val="13.2.3 Piping_Field(PS-1300-00)"/>
      <sheetName val="13.2.3.1 Piping Material (1)"/>
      <sheetName val="13.2.3.1Special Item (2)"/>
      <sheetName val="13.2.4 Steel Str (PS1800.01-02)"/>
      <sheetName val="Steel Structure Material"/>
      <sheetName val="13.2.5 Eq.Erection (PS 6800.01)"/>
      <sheetName val="13.2.6 Insulation (PS 2200 01)"/>
      <sheetName val="13.2.7 Paint (PS 2300 01)"/>
      <sheetName val="13.2.8 El (PS-1600.01)"/>
      <sheetName val="13.2.8.1 El.Materials"/>
      <sheetName val="13.2.9 Instrum (PS-1500.01)"/>
      <sheetName val="13.2.9.1 Instr.Materials"/>
      <sheetName val="13.2.10 FF Outdoor (PS-2400.01)"/>
      <sheetName val="Commissioning"/>
      <sheetName val="INPUT_TABLE"/>
      <sheetName val="на 1 тут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R9">
            <v>4</v>
          </cell>
        </row>
        <row r="10">
          <cell r="R10">
            <v>11</v>
          </cell>
        </row>
        <row r="11">
          <cell r="R11">
            <v>3</v>
          </cell>
        </row>
        <row r="12">
          <cell r="R12">
            <v>83</v>
          </cell>
        </row>
        <row r="13">
          <cell r="R13">
            <v>35</v>
          </cell>
        </row>
        <row r="14">
          <cell r="R14">
            <v>268</v>
          </cell>
        </row>
        <row r="15">
          <cell r="R15">
            <v>20</v>
          </cell>
        </row>
        <row r="16">
          <cell r="R16">
            <v>11</v>
          </cell>
        </row>
        <row r="17">
          <cell r="R17">
            <v>40</v>
          </cell>
        </row>
        <row r="18">
          <cell r="R18">
            <v>34</v>
          </cell>
        </row>
        <row r="19">
          <cell r="R19">
            <v>18</v>
          </cell>
        </row>
        <row r="20">
          <cell r="R20">
            <v>111</v>
          </cell>
        </row>
        <row r="21">
          <cell r="R21">
            <v>23</v>
          </cell>
        </row>
        <row r="22">
          <cell r="R22">
            <v>13</v>
          </cell>
        </row>
        <row r="23">
          <cell r="R23">
            <v>1</v>
          </cell>
        </row>
        <row r="24">
          <cell r="R24">
            <v>16</v>
          </cell>
        </row>
        <row r="25">
          <cell r="R25">
            <v>65</v>
          </cell>
        </row>
        <row r="26">
          <cell r="R26">
            <v>4</v>
          </cell>
        </row>
        <row r="27">
          <cell r="R27">
            <v>2</v>
          </cell>
        </row>
        <row r="28">
          <cell r="R28">
            <v>3</v>
          </cell>
        </row>
        <row r="29">
          <cell r="R29">
            <v>15</v>
          </cell>
        </row>
        <row r="30">
          <cell r="R30">
            <v>62</v>
          </cell>
        </row>
        <row r="31">
          <cell r="R31">
            <v>1</v>
          </cell>
        </row>
        <row r="32">
          <cell r="R32">
            <v>3</v>
          </cell>
        </row>
        <row r="33">
          <cell r="R33">
            <v>1</v>
          </cell>
        </row>
        <row r="34">
          <cell r="R34">
            <v>3</v>
          </cell>
        </row>
        <row r="35">
          <cell r="R35">
            <v>1</v>
          </cell>
        </row>
        <row r="36">
          <cell r="R36">
            <v>8</v>
          </cell>
        </row>
        <row r="37">
          <cell r="R37">
            <v>1</v>
          </cell>
        </row>
        <row r="38">
          <cell r="R38">
            <v>1</v>
          </cell>
        </row>
        <row r="39">
          <cell r="R39">
            <v>1</v>
          </cell>
        </row>
        <row r="40">
          <cell r="R40">
            <v>1</v>
          </cell>
        </row>
        <row r="41">
          <cell r="R41">
            <v>1</v>
          </cell>
        </row>
        <row r="42">
          <cell r="R42">
            <v>1</v>
          </cell>
        </row>
        <row r="43">
          <cell r="R43">
            <v>1</v>
          </cell>
        </row>
        <row r="47">
          <cell r="R47">
            <v>455</v>
          </cell>
        </row>
        <row r="48">
          <cell r="R48">
            <v>10</v>
          </cell>
        </row>
        <row r="49">
          <cell r="R49">
            <v>10</v>
          </cell>
        </row>
        <row r="50">
          <cell r="R50">
            <v>10</v>
          </cell>
        </row>
        <row r="51">
          <cell r="R51">
            <v>10</v>
          </cell>
        </row>
        <row r="52">
          <cell r="R52">
            <v>10</v>
          </cell>
        </row>
        <row r="53">
          <cell r="R53">
            <v>10</v>
          </cell>
        </row>
        <row r="54">
          <cell r="R54">
            <v>10</v>
          </cell>
        </row>
        <row r="55">
          <cell r="R55">
            <v>10</v>
          </cell>
        </row>
        <row r="56">
          <cell r="R56">
            <v>10</v>
          </cell>
        </row>
        <row r="57">
          <cell r="R57">
            <v>850</v>
          </cell>
        </row>
        <row r="58">
          <cell r="R58">
            <v>10</v>
          </cell>
        </row>
        <row r="59">
          <cell r="R59">
            <v>10</v>
          </cell>
        </row>
        <row r="60">
          <cell r="R60">
            <v>10</v>
          </cell>
        </row>
        <row r="61">
          <cell r="R61">
            <v>350</v>
          </cell>
        </row>
        <row r="62">
          <cell r="R62">
            <v>10</v>
          </cell>
        </row>
        <row r="63">
          <cell r="R63">
            <v>10</v>
          </cell>
        </row>
        <row r="64">
          <cell r="R64">
            <v>10</v>
          </cell>
        </row>
        <row r="65">
          <cell r="R65">
            <v>10</v>
          </cell>
        </row>
        <row r="66">
          <cell r="R66">
            <v>10</v>
          </cell>
        </row>
        <row r="67">
          <cell r="R67">
            <v>10</v>
          </cell>
        </row>
        <row r="68">
          <cell r="R68">
            <v>10</v>
          </cell>
        </row>
        <row r="69">
          <cell r="R69">
            <v>10</v>
          </cell>
        </row>
        <row r="70">
          <cell r="R70">
            <v>10</v>
          </cell>
        </row>
        <row r="71">
          <cell r="R71">
            <v>10</v>
          </cell>
        </row>
        <row r="72">
          <cell r="R72">
            <v>850</v>
          </cell>
        </row>
        <row r="73">
          <cell r="R73">
            <v>70</v>
          </cell>
        </row>
        <row r="74">
          <cell r="R74">
            <v>54</v>
          </cell>
        </row>
        <row r="75">
          <cell r="R75">
            <v>156</v>
          </cell>
        </row>
        <row r="76">
          <cell r="R76">
            <v>287</v>
          </cell>
        </row>
        <row r="77">
          <cell r="R77">
            <v>70</v>
          </cell>
        </row>
        <row r="81">
          <cell r="R81">
            <v>440</v>
          </cell>
        </row>
        <row r="82">
          <cell r="R82">
            <v>290</v>
          </cell>
        </row>
        <row r="83">
          <cell r="R83">
            <v>10</v>
          </cell>
        </row>
        <row r="84">
          <cell r="R84">
            <v>10</v>
          </cell>
        </row>
        <row r="85">
          <cell r="R85">
            <v>1950</v>
          </cell>
        </row>
        <row r="86">
          <cell r="R86">
            <v>450</v>
          </cell>
        </row>
        <row r="87">
          <cell r="R87">
            <v>1350</v>
          </cell>
        </row>
        <row r="88">
          <cell r="R88">
            <v>15570</v>
          </cell>
        </row>
        <row r="89">
          <cell r="R89">
            <v>1450</v>
          </cell>
        </row>
        <row r="90">
          <cell r="R90">
            <v>100</v>
          </cell>
        </row>
        <row r="91">
          <cell r="R91">
            <v>30</v>
          </cell>
        </row>
        <row r="92">
          <cell r="R92">
            <v>8740</v>
          </cell>
        </row>
        <row r="93">
          <cell r="R93">
            <v>300</v>
          </cell>
        </row>
        <row r="94">
          <cell r="R94">
            <v>44850</v>
          </cell>
        </row>
        <row r="95">
          <cell r="R95">
            <v>300</v>
          </cell>
        </row>
        <row r="96">
          <cell r="R96">
            <v>300</v>
          </cell>
        </row>
        <row r="97">
          <cell r="R97">
            <v>9250</v>
          </cell>
        </row>
        <row r="98">
          <cell r="R98">
            <v>6840</v>
          </cell>
        </row>
        <row r="99">
          <cell r="R99">
            <v>1440</v>
          </cell>
        </row>
        <row r="100">
          <cell r="R100">
            <v>8000</v>
          </cell>
        </row>
        <row r="104">
          <cell r="R104">
            <v>25</v>
          </cell>
        </row>
        <row r="105">
          <cell r="R105">
            <v>95</v>
          </cell>
        </row>
        <row r="106">
          <cell r="R106">
            <v>2</v>
          </cell>
        </row>
        <row r="107">
          <cell r="R107">
            <v>2</v>
          </cell>
        </row>
        <row r="108">
          <cell r="R108">
            <v>340</v>
          </cell>
        </row>
        <row r="109">
          <cell r="R109">
            <v>282</v>
          </cell>
        </row>
        <row r="110">
          <cell r="R110">
            <v>15</v>
          </cell>
        </row>
        <row r="111">
          <cell r="R111">
            <v>70</v>
          </cell>
        </row>
        <row r="112">
          <cell r="R112">
            <v>222</v>
          </cell>
        </row>
        <row r="113">
          <cell r="R113">
            <v>155</v>
          </cell>
        </row>
        <row r="114">
          <cell r="R114">
            <v>515</v>
          </cell>
        </row>
        <row r="115">
          <cell r="R115">
            <v>725</v>
          </cell>
        </row>
        <row r="116">
          <cell r="R116">
            <v>1</v>
          </cell>
        </row>
        <row r="117">
          <cell r="R117">
            <v>407</v>
          </cell>
        </row>
        <row r="118">
          <cell r="R118">
            <v>738</v>
          </cell>
        </row>
        <row r="119">
          <cell r="R119">
            <v>1903</v>
          </cell>
        </row>
        <row r="120">
          <cell r="R120">
            <v>2</v>
          </cell>
        </row>
        <row r="121">
          <cell r="R121">
            <v>25</v>
          </cell>
        </row>
        <row r="122">
          <cell r="R122">
            <v>95</v>
          </cell>
        </row>
        <row r="123">
          <cell r="R123">
            <v>150</v>
          </cell>
        </row>
        <row r="124">
          <cell r="R124">
            <v>325</v>
          </cell>
        </row>
        <row r="125">
          <cell r="R125">
            <v>20</v>
          </cell>
        </row>
        <row r="126">
          <cell r="R126">
            <v>7220</v>
          </cell>
        </row>
        <row r="127">
          <cell r="R127">
            <v>222</v>
          </cell>
        </row>
        <row r="128">
          <cell r="R128">
            <v>700</v>
          </cell>
        </row>
        <row r="129">
          <cell r="R129">
            <v>120</v>
          </cell>
        </row>
        <row r="130">
          <cell r="R130">
            <v>160</v>
          </cell>
        </row>
        <row r="131">
          <cell r="R131">
            <v>6410</v>
          </cell>
        </row>
        <row r="132">
          <cell r="R132">
            <v>13680</v>
          </cell>
        </row>
        <row r="133">
          <cell r="R133">
            <v>11020</v>
          </cell>
        </row>
        <row r="134">
          <cell r="R134">
            <v>2620</v>
          </cell>
        </row>
        <row r="135">
          <cell r="R135">
            <v>4300</v>
          </cell>
        </row>
        <row r="136">
          <cell r="R136">
            <v>24</v>
          </cell>
        </row>
        <row r="137">
          <cell r="R137">
            <v>4</v>
          </cell>
        </row>
        <row r="138">
          <cell r="R138">
            <v>1000</v>
          </cell>
        </row>
        <row r="139">
          <cell r="R139">
            <v>100</v>
          </cell>
        </row>
        <row r="140">
          <cell r="R140">
            <v>32</v>
          </cell>
        </row>
        <row r="141">
          <cell r="R141">
            <v>1000</v>
          </cell>
        </row>
        <row r="142">
          <cell r="R142">
            <v>2</v>
          </cell>
        </row>
        <row r="146">
          <cell r="R146">
            <v>17</v>
          </cell>
        </row>
        <row r="147">
          <cell r="R147">
            <v>17</v>
          </cell>
        </row>
        <row r="148">
          <cell r="R148">
            <v>17</v>
          </cell>
        </row>
        <row r="149">
          <cell r="R149">
            <v>34</v>
          </cell>
        </row>
        <row r="150">
          <cell r="R150">
            <v>17</v>
          </cell>
        </row>
        <row r="151">
          <cell r="R151">
            <v>17</v>
          </cell>
        </row>
        <row r="152">
          <cell r="R152">
            <v>24</v>
          </cell>
        </row>
        <row r="153">
          <cell r="R153">
            <v>9</v>
          </cell>
        </row>
        <row r="154">
          <cell r="R154">
            <v>2</v>
          </cell>
        </row>
        <row r="155">
          <cell r="R155">
            <v>51</v>
          </cell>
        </row>
        <row r="156">
          <cell r="R156">
            <v>2</v>
          </cell>
        </row>
        <row r="157">
          <cell r="R157">
            <v>5</v>
          </cell>
        </row>
        <row r="158">
          <cell r="R158">
            <v>22</v>
          </cell>
        </row>
        <row r="159">
          <cell r="R159">
            <v>28</v>
          </cell>
        </row>
        <row r="160">
          <cell r="R160">
            <v>94</v>
          </cell>
        </row>
        <row r="161">
          <cell r="R161">
            <v>28</v>
          </cell>
        </row>
        <row r="162">
          <cell r="R162">
            <v>28</v>
          </cell>
        </row>
        <row r="163">
          <cell r="R163">
            <v>4</v>
          </cell>
        </row>
        <row r="164">
          <cell r="R164">
            <v>1</v>
          </cell>
        </row>
        <row r="165">
          <cell r="R165">
            <v>2</v>
          </cell>
        </row>
        <row r="166">
          <cell r="R166">
            <v>6</v>
          </cell>
        </row>
        <row r="167">
          <cell r="R167">
            <v>11</v>
          </cell>
        </row>
        <row r="168">
          <cell r="R168">
            <v>29</v>
          </cell>
        </row>
        <row r="169">
          <cell r="R169">
            <v>89</v>
          </cell>
        </row>
        <row r="170">
          <cell r="R170">
            <v>6</v>
          </cell>
        </row>
        <row r="171">
          <cell r="R171">
            <v>6</v>
          </cell>
        </row>
        <row r="172">
          <cell r="R172">
            <v>9</v>
          </cell>
        </row>
        <row r="173">
          <cell r="R173">
            <v>9</v>
          </cell>
        </row>
        <row r="174">
          <cell r="R174">
            <v>2030</v>
          </cell>
        </row>
        <row r="175">
          <cell r="R175">
            <v>170</v>
          </cell>
        </row>
        <row r="176">
          <cell r="R176">
            <v>2030</v>
          </cell>
        </row>
        <row r="177">
          <cell r="R177">
            <v>430</v>
          </cell>
        </row>
        <row r="178">
          <cell r="R178">
            <v>640</v>
          </cell>
        </row>
        <row r="179">
          <cell r="R179">
            <v>4030</v>
          </cell>
        </row>
        <row r="180">
          <cell r="R180">
            <v>3</v>
          </cell>
        </row>
        <row r="181">
          <cell r="R181">
            <v>19</v>
          </cell>
        </row>
        <row r="182">
          <cell r="R182">
            <v>21</v>
          </cell>
        </row>
        <row r="183">
          <cell r="R183">
            <v>17</v>
          </cell>
        </row>
        <row r="184">
          <cell r="R184">
            <v>17</v>
          </cell>
        </row>
        <row r="185">
          <cell r="R185">
            <v>14</v>
          </cell>
        </row>
        <row r="186">
          <cell r="R186">
            <v>14</v>
          </cell>
        </row>
        <row r="187">
          <cell r="R187">
            <v>1</v>
          </cell>
        </row>
        <row r="188">
          <cell r="R188">
            <v>1420</v>
          </cell>
        </row>
        <row r="189">
          <cell r="R189">
            <v>690</v>
          </cell>
        </row>
        <row r="190">
          <cell r="R190">
            <v>1420</v>
          </cell>
        </row>
        <row r="191">
          <cell r="R191">
            <v>1370</v>
          </cell>
        </row>
        <row r="192">
          <cell r="R192">
            <v>730</v>
          </cell>
        </row>
        <row r="193">
          <cell r="R193">
            <v>380</v>
          </cell>
        </row>
        <row r="194">
          <cell r="R194">
            <v>1</v>
          </cell>
        </row>
        <row r="195">
          <cell r="R195">
            <v>10</v>
          </cell>
        </row>
        <row r="196">
          <cell r="R196">
            <v>3</v>
          </cell>
        </row>
        <row r="197">
          <cell r="R197">
            <v>1</v>
          </cell>
        </row>
        <row r="198">
          <cell r="R198">
            <v>10</v>
          </cell>
        </row>
        <row r="199">
          <cell r="R199">
            <v>10</v>
          </cell>
        </row>
        <row r="200">
          <cell r="R200">
            <v>4</v>
          </cell>
        </row>
        <row r="201">
          <cell r="R201">
            <v>4</v>
          </cell>
        </row>
        <row r="202">
          <cell r="R202">
            <v>4</v>
          </cell>
        </row>
        <row r="203">
          <cell r="R203">
            <v>6</v>
          </cell>
        </row>
        <row r="204">
          <cell r="R204">
            <v>6</v>
          </cell>
        </row>
        <row r="205">
          <cell r="R205">
            <v>4</v>
          </cell>
        </row>
        <row r="206">
          <cell r="R206">
            <v>4</v>
          </cell>
        </row>
        <row r="207">
          <cell r="R207">
            <v>4</v>
          </cell>
        </row>
        <row r="208">
          <cell r="R208">
            <v>4</v>
          </cell>
        </row>
        <row r="209">
          <cell r="R209">
            <v>4</v>
          </cell>
        </row>
        <row r="210">
          <cell r="R210">
            <v>18</v>
          </cell>
        </row>
        <row r="211">
          <cell r="R211">
            <v>34</v>
          </cell>
        </row>
        <row r="212">
          <cell r="R212">
            <v>18</v>
          </cell>
        </row>
        <row r="213">
          <cell r="R213">
            <v>18</v>
          </cell>
        </row>
        <row r="214">
          <cell r="R214">
            <v>18</v>
          </cell>
        </row>
        <row r="215">
          <cell r="R215">
            <v>18</v>
          </cell>
        </row>
        <row r="216">
          <cell r="R216">
            <v>160</v>
          </cell>
        </row>
        <row r="217">
          <cell r="R217">
            <v>1</v>
          </cell>
        </row>
        <row r="218">
          <cell r="R218">
            <v>60</v>
          </cell>
        </row>
        <row r="219">
          <cell r="R219">
            <v>60</v>
          </cell>
        </row>
        <row r="223">
          <cell r="R223">
            <v>1091</v>
          </cell>
        </row>
        <row r="224">
          <cell r="R224">
            <v>1077</v>
          </cell>
        </row>
        <row r="225">
          <cell r="R225">
            <v>9059</v>
          </cell>
        </row>
        <row r="226">
          <cell r="R226">
            <v>2795</v>
          </cell>
        </row>
        <row r="227">
          <cell r="R227">
            <v>1800</v>
          </cell>
        </row>
        <row r="228">
          <cell r="R228">
            <v>1370</v>
          </cell>
        </row>
        <row r="229">
          <cell r="R229">
            <v>1193</v>
          </cell>
        </row>
        <row r="230">
          <cell r="R230">
            <v>1800</v>
          </cell>
        </row>
        <row r="231">
          <cell r="R231">
            <v>64</v>
          </cell>
        </row>
        <row r="232">
          <cell r="R232">
            <v>9</v>
          </cell>
        </row>
        <row r="233">
          <cell r="R233">
            <v>1</v>
          </cell>
        </row>
        <row r="234">
          <cell r="R234">
            <v>3</v>
          </cell>
        </row>
        <row r="235">
          <cell r="R235">
            <v>1193</v>
          </cell>
        </row>
        <row r="236">
          <cell r="R236">
            <v>7279</v>
          </cell>
        </row>
        <row r="237">
          <cell r="R237">
            <v>6</v>
          </cell>
        </row>
        <row r="238">
          <cell r="R238">
            <v>1200</v>
          </cell>
        </row>
        <row r="239">
          <cell r="R239">
            <v>1000</v>
          </cell>
        </row>
        <row r="240">
          <cell r="R240">
            <v>200</v>
          </cell>
        </row>
        <row r="241">
          <cell r="R241">
            <v>200</v>
          </cell>
        </row>
        <row r="242">
          <cell r="R242">
            <v>100</v>
          </cell>
        </row>
        <row r="243">
          <cell r="R243">
            <v>60</v>
          </cell>
        </row>
        <row r="244">
          <cell r="R244">
            <v>65930</v>
          </cell>
        </row>
        <row r="248">
          <cell r="R248">
            <v>248</v>
          </cell>
        </row>
        <row r="249">
          <cell r="R249">
            <v>900</v>
          </cell>
        </row>
        <row r="250">
          <cell r="R250">
            <v>300</v>
          </cell>
        </row>
        <row r="251">
          <cell r="R251">
            <v>1627</v>
          </cell>
        </row>
        <row r="252">
          <cell r="R252">
            <v>5090</v>
          </cell>
        </row>
        <row r="253">
          <cell r="R253">
            <v>5225</v>
          </cell>
        </row>
        <row r="254">
          <cell r="R254">
            <v>340</v>
          </cell>
        </row>
        <row r="255">
          <cell r="R255">
            <v>300</v>
          </cell>
        </row>
        <row r="256">
          <cell r="R256">
            <v>117123</v>
          </cell>
        </row>
        <row r="257">
          <cell r="R257">
            <v>58257</v>
          </cell>
        </row>
        <row r="258">
          <cell r="R258">
            <v>5065</v>
          </cell>
        </row>
        <row r="259">
          <cell r="R259">
            <v>5160</v>
          </cell>
        </row>
        <row r="260">
          <cell r="R260">
            <v>3400</v>
          </cell>
        </row>
        <row r="261">
          <cell r="R261">
            <v>1200</v>
          </cell>
        </row>
        <row r="262">
          <cell r="R262">
            <v>78003</v>
          </cell>
        </row>
        <row r="263">
          <cell r="R263">
            <v>29649</v>
          </cell>
        </row>
        <row r="264">
          <cell r="R264">
            <v>30473</v>
          </cell>
        </row>
        <row r="265">
          <cell r="R265">
            <v>5680</v>
          </cell>
        </row>
        <row r="266">
          <cell r="R266">
            <v>12570</v>
          </cell>
        </row>
        <row r="267">
          <cell r="R267">
            <v>2945</v>
          </cell>
        </row>
        <row r="268">
          <cell r="R268">
            <v>4620</v>
          </cell>
        </row>
        <row r="269">
          <cell r="R269">
            <v>6375</v>
          </cell>
        </row>
        <row r="270">
          <cell r="R270">
            <v>10440</v>
          </cell>
        </row>
        <row r="271">
          <cell r="R271">
            <v>49736</v>
          </cell>
        </row>
        <row r="272">
          <cell r="R272">
            <v>5700</v>
          </cell>
        </row>
        <row r="273">
          <cell r="R273">
            <v>11480</v>
          </cell>
        </row>
        <row r="274">
          <cell r="R274">
            <v>490</v>
          </cell>
        </row>
        <row r="275">
          <cell r="R275">
            <v>615</v>
          </cell>
        </row>
        <row r="276">
          <cell r="R276">
            <v>450</v>
          </cell>
        </row>
        <row r="277">
          <cell r="R277">
            <v>630</v>
          </cell>
        </row>
        <row r="278">
          <cell r="R278">
            <v>5080</v>
          </cell>
        </row>
        <row r="279">
          <cell r="R279">
            <v>300</v>
          </cell>
        </row>
        <row r="280">
          <cell r="R280">
            <v>6595</v>
          </cell>
        </row>
        <row r="281">
          <cell r="R281">
            <v>300</v>
          </cell>
        </row>
        <row r="282">
          <cell r="R282">
            <v>300</v>
          </cell>
        </row>
        <row r="283">
          <cell r="R283">
            <v>300</v>
          </cell>
        </row>
        <row r="284">
          <cell r="R284">
            <v>300</v>
          </cell>
        </row>
        <row r="285">
          <cell r="R285">
            <v>300</v>
          </cell>
        </row>
        <row r="286">
          <cell r="R286">
            <v>1860</v>
          </cell>
        </row>
        <row r="287">
          <cell r="R287">
            <v>120</v>
          </cell>
        </row>
        <row r="288">
          <cell r="R288">
            <v>180</v>
          </cell>
        </row>
        <row r="289">
          <cell r="R289">
            <v>120</v>
          </cell>
        </row>
        <row r="290">
          <cell r="R290">
            <v>180</v>
          </cell>
        </row>
        <row r="291">
          <cell r="R291">
            <v>1500</v>
          </cell>
        </row>
        <row r="292">
          <cell r="R292">
            <v>300</v>
          </cell>
        </row>
        <row r="293">
          <cell r="R293">
            <v>1656</v>
          </cell>
        </row>
        <row r="294">
          <cell r="R294">
            <v>300</v>
          </cell>
        </row>
        <row r="295">
          <cell r="R295">
            <v>300</v>
          </cell>
        </row>
        <row r="296">
          <cell r="R296">
            <v>300</v>
          </cell>
        </row>
        <row r="297">
          <cell r="R297">
            <v>300</v>
          </cell>
        </row>
        <row r="298">
          <cell r="R298">
            <v>300</v>
          </cell>
        </row>
        <row r="299">
          <cell r="R299">
            <v>480</v>
          </cell>
        </row>
        <row r="300">
          <cell r="R300">
            <v>10560</v>
          </cell>
        </row>
        <row r="301">
          <cell r="R301">
            <v>16000</v>
          </cell>
        </row>
        <row r="302">
          <cell r="R302">
            <v>20280</v>
          </cell>
        </row>
        <row r="303">
          <cell r="R303">
            <v>33686</v>
          </cell>
        </row>
        <row r="304">
          <cell r="R304">
            <v>1020</v>
          </cell>
        </row>
        <row r="305">
          <cell r="R305">
            <v>62410</v>
          </cell>
        </row>
        <row r="306">
          <cell r="R306">
            <v>22345</v>
          </cell>
        </row>
        <row r="307">
          <cell r="R307">
            <v>100145</v>
          </cell>
        </row>
        <row r="308">
          <cell r="R308">
            <v>45130</v>
          </cell>
        </row>
        <row r="309">
          <cell r="R309">
            <v>600</v>
          </cell>
        </row>
        <row r="310">
          <cell r="R310">
            <v>14700</v>
          </cell>
        </row>
        <row r="311">
          <cell r="R311">
            <v>17600</v>
          </cell>
        </row>
        <row r="312">
          <cell r="R312">
            <v>300</v>
          </cell>
        </row>
        <row r="313">
          <cell r="R313">
            <v>1600</v>
          </cell>
        </row>
        <row r="314">
          <cell r="R314">
            <v>164500</v>
          </cell>
        </row>
        <row r="315">
          <cell r="R315">
            <v>900</v>
          </cell>
        </row>
        <row r="316">
          <cell r="R316">
            <v>300</v>
          </cell>
        </row>
        <row r="317">
          <cell r="R317">
            <v>700</v>
          </cell>
        </row>
        <row r="318">
          <cell r="R318">
            <v>2640</v>
          </cell>
        </row>
        <row r="319">
          <cell r="R319">
            <v>180</v>
          </cell>
        </row>
        <row r="320">
          <cell r="R320">
            <v>1450</v>
          </cell>
        </row>
        <row r="321">
          <cell r="R321">
            <v>360</v>
          </cell>
        </row>
        <row r="322">
          <cell r="R322">
            <v>430</v>
          </cell>
        </row>
        <row r="323">
          <cell r="R323">
            <v>5680</v>
          </cell>
        </row>
        <row r="324">
          <cell r="R324">
            <v>5440</v>
          </cell>
        </row>
        <row r="325">
          <cell r="R325">
            <v>860</v>
          </cell>
        </row>
        <row r="326">
          <cell r="R326">
            <v>6110</v>
          </cell>
        </row>
        <row r="327">
          <cell r="R327">
            <v>9580</v>
          </cell>
        </row>
        <row r="328">
          <cell r="R328">
            <v>1350</v>
          </cell>
        </row>
        <row r="329">
          <cell r="R329">
            <v>2100</v>
          </cell>
        </row>
        <row r="330">
          <cell r="R330">
            <v>10</v>
          </cell>
        </row>
        <row r="331">
          <cell r="R331">
            <v>10320</v>
          </cell>
        </row>
        <row r="332">
          <cell r="R332">
            <v>48</v>
          </cell>
        </row>
        <row r="333">
          <cell r="R333">
            <v>17</v>
          </cell>
        </row>
        <row r="334">
          <cell r="R334">
            <v>62</v>
          </cell>
        </row>
        <row r="335">
          <cell r="R335">
            <v>64</v>
          </cell>
        </row>
        <row r="336">
          <cell r="R336">
            <v>272</v>
          </cell>
        </row>
        <row r="337">
          <cell r="R337">
            <v>4297</v>
          </cell>
        </row>
        <row r="338">
          <cell r="R338">
            <v>1207</v>
          </cell>
        </row>
        <row r="339">
          <cell r="R339">
            <v>828</v>
          </cell>
        </row>
        <row r="340">
          <cell r="R340">
            <v>350</v>
          </cell>
        </row>
        <row r="341">
          <cell r="R341">
            <v>100</v>
          </cell>
        </row>
        <row r="342">
          <cell r="R342">
            <v>357</v>
          </cell>
        </row>
        <row r="343">
          <cell r="R343">
            <v>1155</v>
          </cell>
        </row>
        <row r="344">
          <cell r="R344">
            <v>36538</v>
          </cell>
        </row>
        <row r="345">
          <cell r="R345">
            <v>212</v>
          </cell>
        </row>
        <row r="346">
          <cell r="R346">
            <v>181</v>
          </cell>
        </row>
        <row r="347">
          <cell r="R347">
            <v>297</v>
          </cell>
        </row>
        <row r="348">
          <cell r="R348">
            <v>43</v>
          </cell>
        </row>
        <row r="349">
          <cell r="R349">
            <v>68</v>
          </cell>
        </row>
        <row r="353">
          <cell r="R353">
            <v>4980</v>
          </cell>
        </row>
        <row r="354">
          <cell r="R354">
            <v>1680</v>
          </cell>
        </row>
        <row r="355">
          <cell r="R355">
            <v>59370</v>
          </cell>
        </row>
        <row r="356">
          <cell r="R356">
            <v>10</v>
          </cell>
        </row>
        <row r="357">
          <cell r="R357">
            <v>2530</v>
          </cell>
        </row>
        <row r="358">
          <cell r="R358">
            <v>870</v>
          </cell>
        </row>
        <row r="359">
          <cell r="R359">
            <v>7050</v>
          </cell>
        </row>
        <row r="360">
          <cell r="R360">
            <v>48340</v>
          </cell>
        </row>
        <row r="361">
          <cell r="R361">
            <v>10</v>
          </cell>
        </row>
        <row r="362">
          <cell r="R362">
            <v>10</v>
          </cell>
        </row>
        <row r="363">
          <cell r="R363">
            <v>10</v>
          </cell>
        </row>
        <row r="364">
          <cell r="R364">
            <v>10</v>
          </cell>
        </row>
        <row r="365">
          <cell r="R365">
            <v>79380</v>
          </cell>
        </row>
        <row r="366">
          <cell r="R366">
            <v>3240</v>
          </cell>
        </row>
        <row r="367">
          <cell r="R367">
            <v>1630</v>
          </cell>
        </row>
        <row r="368">
          <cell r="R368">
            <v>910</v>
          </cell>
        </row>
        <row r="369">
          <cell r="R369">
            <v>30</v>
          </cell>
        </row>
        <row r="370">
          <cell r="R370">
            <v>10</v>
          </cell>
        </row>
        <row r="371">
          <cell r="R371">
            <v>970</v>
          </cell>
        </row>
        <row r="372">
          <cell r="R372">
            <v>70</v>
          </cell>
        </row>
        <row r="373">
          <cell r="R373">
            <v>30</v>
          </cell>
        </row>
        <row r="374">
          <cell r="R374">
            <v>2400</v>
          </cell>
        </row>
        <row r="375">
          <cell r="R375">
            <v>1320</v>
          </cell>
        </row>
        <row r="376">
          <cell r="R376">
            <v>440</v>
          </cell>
        </row>
        <row r="377">
          <cell r="R377">
            <v>10</v>
          </cell>
        </row>
        <row r="378">
          <cell r="R378">
            <v>1030</v>
          </cell>
        </row>
        <row r="379">
          <cell r="R379">
            <v>10</v>
          </cell>
        </row>
        <row r="380">
          <cell r="R380">
            <v>1800</v>
          </cell>
        </row>
        <row r="381">
          <cell r="R381">
            <v>600</v>
          </cell>
        </row>
        <row r="382">
          <cell r="R382">
            <v>29620</v>
          </cell>
        </row>
        <row r="383">
          <cell r="R383">
            <v>10</v>
          </cell>
        </row>
        <row r="384">
          <cell r="R384">
            <v>10</v>
          </cell>
        </row>
        <row r="385">
          <cell r="R385">
            <v>400</v>
          </cell>
        </row>
        <row r="386">
          <cell r="R386">
            <v>10</v>
          </cell>
        </row>
        <row r="387">
          <cell r="R387">
            <v>50</v>
          </cell>
        </row>
        <row r="388">
          <cell r="R388">
            <v>10</v>
          </cell>
        </row>
        <row r="389">
          <cell r="R389">
            <v>10</v>
          </cell>
        </row>
        <row r="390">
          <cell r="R390">
            <v>10</v>
          </cell>
        </row>
        <row r="391">
          <cell r="R391">
            <v>10</v>
          </cell>
        </row>
        <row r="392">
          <cell r="R392">
            <v>10</v>
          </cell>
        </row>
        <row r="393">
          <cell r="R393">
            <v>10</v>
          </cell>
        </row>
        <row r="394">
          <cell r="R394">
            <v>10</v>
          </cell>
        </row>
        <row r="395">
          <cell r="R395">
            <v>470</v>
          </cell>
        </row>
        <row r="396">
          <cell r="R396">
            <v>10</v>
          </cell>
        </row>
        <row r="397">
          <cell r="R397">
            <v>10</v>
          </cell>
        </row>
        <row r="398">
          <cell r="R398">
            <v>10</v>
          </cell>
        </row>
        <row r="399">
          <cell r="R399">
            <v>10</v>
          </cell>
        </row>
        <row r="400">
          <cell r="R400">
            <v>10</v>
          </cell>
        </row>
        <row r="401">
          <cell r="R401">
            <v>10</v>
          </cell>
        </row>
        <row r="402">
          <cell r="R402">
            <v>10</v>
          </cell>
        </row>
        <row r="403">
          <cell r="R403">
            <v>470</v>
          </cell>
        </row>
        <row r="404">
          <cell r="R404">
            <v>430</v>
          </cell>
        </row>
        <row r="405">
          <cell r="R405">
            <v>70</v>
          </cell>
        </row>
        <row r="406">
          <cell r="R406">
            <v>210</v>
          </cell>
        </row>
        <row r="407">
          <cell r="R407">
            <v>140</v>
          </cell>
        </row>
        <row r="408">
          <cell r="R408">
            <v>10140</v>
          </cell>
        </row>
        <row r="409">
          <cell r="R409">
            <v>10080</v>
          </cell>
        </row>
        <row r="410">
          <cell r="R410">
            <v>96300</v>
          </cell>
        </row>
        <row r="411">
          <cell r="R411">
            <v>46340</v>
          </cell>
        </row>
        <row r="412">
          <cell r="R412">
            <v>6963</v>
          </cell>
        </row>
        <row r="413">
          <cell r="R413">
            <v>6963</v>
          </cell>
        </row>
        <row r="414">
          <cell r="R414">
            <v>3169</v>
          </cell>
        </row>
        <row r="415">
          <cell r="R415">
            <v>703</v>
          </cell>
        </row>
        <row r="419">
          <cell r="R419">
            <v>20</v>
          </cell>
        </row>
        <row r="420">
          <cell r="R420">
            <v>50</v>
          </cell>
        </row>
        <row r="421">
          <cell r="R421">
            <v>10</v>
          </cell>
        </row>
        <row r="422">
          <cell r="R422">
            <v>1070</v>
          </cell>
        </row>
        <row r="423">
          <cell r="R423">
            <v>860</v>
          </cell>
        </row>
        <row r="427">
          <cell r="R427">
            <v>58</v>
          </cell>
        </row>
        <row r="431">
          <cell r="R431">
            <v>150</v>
          </cell>
        </row>
        <row r="432">
          <cell r="R432">
            <v>11</v>
          </cell>
        </row>
        <row r="433">
          <cell r="R433">
            <v>11</v>
          </cell>
        </row>
        <row r="434">
          <cell r="R434">
            <v>1100</v>
          </cell>
        </row>
        <row r="435">
          <cell r="R435">
            <v>600</v>
          </cell>
        </row>
        <row r="436">
          <cell r="R436">
            <v>5</v>
          </cell>
        </row>
        <row r="437">
          <cell r="R437">
            <v>3</v>
          </cell>
        </row>
        <row r="438">
          <cell r="R438">
            <v>200</v>
          </cell>
        </row>
        <row r="439">
          <cell r="R439">
            <v>6000</v>
          </cell>
        </row>
        <row r="440">
          <cell r="R440">
            <v>6000</v>
          </cell>
        </row>
        <row r="441">
          <cell r="R441">
            <v>2000</v>
          </cell>
        </row>
        <row r="442">
          <cell r="R442">
            <v>2</v>
          </cell>
        </row>
        <row r="443">
          <cell r="R443">
            <v>150</v>
          </cell>
        </row>
        <row r="444">
          <cell r="R444">
            <v>4500</v>
          </cell>
        </row>
        <row r="445">
          <cell r="R445">
            <v>4500</v>
          </cell>
        </row>
        <row r="446">
          <cell r="R446">
            <v>1500</v>
          </cell>
        </row>
        <row r="447">
          <cell r="R447">
            <v>2</v>
          </cell>
        </row>
        <row r="448">
          <cell r="R448">
            <v>100</v>
          </cell>
        </row>
        <row r="449">
          <cell r="R449">
            <v>3500</v>
          </cell>
        </row>
        <row r="450">
          <cell r="R450">
            <v>3500</v>
          </cell>
        </row>
        <row r="451">
          <cell r="R451">
            <v>1000</v>
          </cell>
        </row>
        <row r="452">
          <cell r="R452">
            <v>2</v>
          </cell>
        </row>
        <row r="453">
          <cell r="R453">
            <v>1148.9851099999998</v>
          </cell>
        </row>
        <row r="454">
          <cell r="R454">
            <v>21.032800000000002</v>
          </cell>
        </row>
        <row r="455">
          <cell r="R455">
            <v>118.08229999999999</v>
          </cell>
        </row>
        <row r="456">
          <cell r="R456">
            <v>78.767599999999987</v>
          </cell>
        </row>
        <row r="457">
          <cell r="R457">
            <v>10.0412</v>
          </cell>
        </row>
        <row r="458">
          <cell r="R458">
            <v>24.655800000000003</v>
          </cell>
        </row>
        <row r="459">
          <cell r="R459">
            <v>138.69300000000001</v>
          </cell>
        </row>
        <row r="460">
          <cell r="R460">
            <v>1</v>
          </cell>
        </row>
        <row r="461">
          <cell r="R461">
            <v>2772</v>
          </cell>
        </row>
        <row r="462">
          <cell r="R462">
            <v>1</v>
          </cell>
        </row>
        <row r="463">
          <cell r="R463">
            <v>1</v>
          </cell>
        </row>
        <row r="464">
          <cell r="R464">
            <v>1</v>
          </cell>
        </row>
        <row r="465">
          <cell r="R465">
            <v>1</v>
          </cell>
        </row>
        <row r="466">
          <cell r="R466">
            <v>456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общ.цена_Отбор"/>
      <sheetName val="2000."/>
      <sheetName val="1300"/>
      <sheetName val="1300 ведомость мат-в."/>
      <sheetName val="1700"/>
      <sheetName val="1800"/>
      <sheetName val="6800"/>
      <sheetName val="2200"/>
      <sheetName val="2300"/>
      <sheetName val="1500 "/>
      <sheetName val="1600"/>
      <sheetName val="обор-е ГСП-2"/>
      <sheetName val="пакеты ГСП-2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A11" t="str">
            <v>6870</v>
          </cell>
        </row>
      </sheetData>
      <sheetData sheetId="7"/>
      <sheetData sheetId="8"/>
      <sheetData sheetId="9"/>
      <sheetData sheetId="10"/>
      <sheetData sheetId="11">
        <row r="5">
          <cell r="AB5">
            <v>2393.2715000000007</v>
          </cell>
        </row>
        <row r="6">
          <cell r="AB6">
            <v>808.55850000000055</v>
          </cell>
        </row>
        <row r="345">
          <cell r="AB345">
            <v>246.24200000000008</v>
          </cell>
        </row>
        <row r="386">
          <cell r="AB386">
            <v>94.570999999999984</v>
          </cell>
        </row>
        <row r="402">
          <cell r="AB402">
            <v>358</v>
          </cell>
        </row>
        <row r="429">
          <cell r="AB429">
            <v>35</v>
          </cell>
        </row>
        <row r="431">
          <cell r="AB431">
            <v>64</v>
          </cell>
        </row>
        <row r="439">
          <cell r="AB439">
            <v>61.5</v>
          </cell>
        </row>
        <row r="468">
          <cell r="AB468">
            <v>90.09999999999998</v>
          </cell>
        </row>
        <row r="487">
          <cell r="AB487">
            <v>555.29999999999995</v>
          </cell>
        </row>
        <row r="516">
          <cell r="AB516">
            <v>80</v>
          </cell>
        </row>
      </sheetData>
      <sheetData sheetId="12">
        <row r="6">
          <cell r="K6">
            <v>12508.424999999999</v>
          </cell>
          <cell r="L6">
            <v>8285.7999999999993</v>
          </cell>
          <cell r="M6">
            <v>42</v>
          </cell>
        </row>
        <row r="157">
          <cell r="K157">
            <v>3024.2529999999997</v>
          </cell>
        </row>
        <row r="174">
          <cell r="K174">
            <v>7533.3419999999996</v>
          </cell>
        </row>
        <row r="183">
          <cell r="K183">
            <v>1461</v>
          </cell>
        </row>
        <row r="211">
          <cell r="K211">
            <v>489.83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2"/>
  <sheetViews>
    <sheetView zoomScale="70" zoomScaleNormal="70" workbookViewId="0">
      <selection activeCell="B24" sqref="B24"/>
    </sheetView>
  </sheetViews>
  <sheetFormatPr defaultColWidth="9.140625" defaultRowHeight="15" customHeight="1" outlineLevelCol="1"/>
  <cols>
    <col min="1" max="1" width="12.42578125" style="2" customWidth="1"/>
    <col min="2" max="2" width="98.42578125" style="2" customWidth="1"/>
    <col min="3" max="3" width="9.7109375" style="2" customWidth="1"/>
    <col min="4" max="13" width="13.28515625" style="2" customWidth="1" outlineLevel="1"/>
    <col min="14" max="14" width="13.28515625" style="34" customWidth="1" outlineLevel="1"/>
    <col min="15" max="17" width="13.28515625" style="2" customWidth="1" outlineLevel="1"/>
    <col min="18" max="18" width="15.140625" style="2" customWidth="1"/>
    <col min="19" max="19" width="14.85546875" style="2" customWidth="1"/>
    <col min="20" max="16384" width="9.140625" style="2"/>
  </cols>
  <sheetData>
    <row r="1" spans="1:24" ht="54.7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1"/>
      <c r="U1" s="1"/>
      <c r="V1" s="1"/>
      <c r="W1" s="1"/>
      <c r="X1" s="1"/>
    </row>
    <row r="2" spans="1:24" ht="15.7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3"/>
      <c r="P2" s="3"/>
      <c r="Q2" s="3"/>
      <c r="R2" s="3"/>
    </row>
    <row r="3" spans="1:24" ht="16.5" thickBo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5"/>
      <c r="P3" s="5"/>
      <c r="Q3" s="5"/>
      <c r="R3" s="5"/>
      <c r="S3" s="7"/>
    </row>
    <row r="4" spans="1:24" s="8" customFormat="1" ht="23.25" customHeight="1">
      <c r="A4" s="49" t="s">
        <v>2</v>
      </c>
      <c r="B4" s="51" t="s">
        <v>3</v>
      </c>
      <c r="C4" s="51" t="s">
        <v>4</v>
      </c>
      <c r="D4" s="53" t="s">
        <v>112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1" t="s">
        <v>5</v>
      </c>
      <c r="S4" s="54" t="s">
        <v>6</v>
      </c>
    </row>
    <row r="5" spans="1:24" s="8" customFormat="1" ht="45">
      <c r="A5" s="50"/>
      <c r="B5" s="52"/>
      <c r="C5" s="52"/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52"/>
      <c r="S5" s="55"/>
    </row>
    <row r="6" spans="1:24" s="8" customFormat="1">
      <c r="A6" s="10">
        <v>1</v>
      </c>
      <c r="B6" s="11">
        <v>2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9</v>
      </c>
      <c r="I6" s="11">
        <v>10</v>
      </c>
      <c r="J6" s="11">
        <v>11</v>
      </c>
      <c r="K6" s="11">
        <v>12</v>
      </c>
      <c r="L6" s="11">
        <v>13</v>
      </c>
      <c r="M6" s="11">
        <v>14</v>
      </c>
      <c r="N6" s="11">
        <v>15</v>
      </c>
      <c r="O6" s="11">
        <v>16</v>
      </c>
      <c r="P6" s="11">
        <v>17</v>
      </c>
      <c r="Q6" s="11">
        <v>18</v>
      </c>
      <c r="R6" s="11">
        <v>19</v>
      </c>
      <c r="S6" s="12">
        <v>20</v>
      </c>
    </row>
    <row r="7" spans="1:24" s="19" customFormat="1" ht="28.5" customHeight="1">
      <c r="A7" s="13" t="s">
        <v>21</v>
      </c>
      <c r="B7" s="14" t="s">
        <v>22</v>
      </c>
      <c r="C7" s="15" t="s">
        <v>23</v>
      </c>
      <c r="D7" s="16"/>
      <c r="E7" s="16"/>
      <c r="F7" s="16"/>
      <c r="G7" s="17"/>
      <c r="H7" s="16"/>
      <c r="I7" s="17"/>
      <c r="J7" s="16" t="e">
        <f>SUMIF(#REF!,'6800_Перечень обор.ГСП-2'!A7,#REF!)</f>
        <v>#REF!</v>
      </c>
      <c r="K7" s="16"/>
      <c r="L7" s="16"/>
      <c r="M7" s="16"/>
      <c r="N7" s="16" t="e">
        <f>#REF!</f>
        <v>#REF!</v>
      </c>
      <c r="O7" s="16"/>
      <c r="P7" s="16"/>
      <c r="Q7" s="16"/>
      <c r="R7" s="16" t="e">
        <f t="shared" ref="R7:R14" si="0">SUM(D7:Q7)</f>
        <v>#REF!</v>
      </c>
      <c r="S7" s="18">
        <v>20</v>
      </c>
    </row>
    <row r="8" spans="1:24" s="19" customFormat="1" ht="28.5" customHeight="1">
      <c r="A8" s="13" t="s">
        <v>24</v>
      </c>
      <c r="B8" s="14" t="s">
        <v>25</v>
      </c>
      <c r="C8" s="15" t="s">
        <v>23</v>
      </c>
      <c r="D8" s="16" t="e">
        <f>SUMIF(#REF!,'6800_Перечень обор.ГСП-2'!A8,#REF!)</f>
        <v>#REF!</v>
      </c>
      <c r="E8" s="16" t="e">
        <f>SUMIF(#REF!,'6800_Перечень обор.ГСП-2'!A8,#REF!)</f>
        <v>#REF!</v>
      </c>
      <c r="F8" s="16" t="e">
        <f>SUMIF(#REF!,'6800_Перечень обор.ГСП-2'!A8,#REF!)</f>
        <v>#REF!</v>
      </c>
      <c r="G8" s="17" t="e">
        <f>SUMIF(#REF!,'6800_Перечень обор.ГСП-2'!A8,#REF!)</f>
        <v>#REF!</v>
      </c>
      <c r="H8" s="16"/>
      <c r="I8" s="17" t="e">
        <f>SUMIF(#REF!,'6800_Перечень обор.ГСП-2'!A8,#REF!)</f>
        <v>#REF!</v>
      </c>
      <c r="J8" s="16" t="e">
        <f>SUMIF(#REF!,'6800_Перечень обор.ГСП-2'!A8,#REF!)</f>
        <v>#REF!</v>
      </c>
      <c r="K8" s="16" t="e">
        <f>SUMIF(#REF!,'6800_Перечень обор.ГСП-2'!A8,#REF!)</f>
        <v>#REF!</v>
      </c>
      <c r="L8" s="16" t="e">
        <f>SUMIF(#REF!,'6800_Перечень обор.ГСП-2'!A8,#REF!)</f>
        <v>#REF!</v>
      </c>
      <c r="M8" s="16"/>
      <c r="N8" s="16"/>
      <c r="O8" s="16"/>
      <c r="P8" s="16"/>
      <c r="Q8" s="16"/>
      <c r="R8" s="16" t="e">
        <f t="shared" si="0"/>
        <v>#REF!</v>
      </c>
      <c r="S8" s="18">
        <v>40</v>
      </c>
    </row>
    <row r="9" spans="1:24" s="19" customFormat="1" ht="71.25">
      <c r="A9" s="13" t="s">
        <v>26</v>
      </c>
      <c r="B9" s="14" t="s">
        <v>27</v>
      </c>
      <c r="C9" s="15" t="s">
        <v>23</v>
      </c>
      <c r="D9" s="16" t="e">
        <f>SUMIF(#REF!,'6800_Перечень обор.ГСП-2'!A9,#REF!)</f>
        <v>#REF!</v>
      </c>
      <c r="E9" s="16" t="e">
        <f>SUMIF(#REF!,'6800_Перечень обор.ГСП-2'!A9,#REF!)</f>
        <v>#REF!</v>
      </c>
      <c r="F9" s="16" t="e">
        <f>SUMIF(#REF!,'6800_Перечень обор.ГСП-2'!A9,#REF!)</f>
        <v>#REF!</v>
      </c>
      <c r="G9" s="17" t="e">
        <f>#REF!</f>
        <v>#REF!</v>
      </c>
      <c r="H9" s="16"/>
      <c r="I9" s="17" t="e">
        <f>#REF!</f>
        <v>#REF!</v>
      </c>
      <c r="J9" s="16" t="e">
        <f>#REF!-#REF!</f>
        <v>#REF!</v>
      </c>
      <c r="K9" s="16" t="e">
        <f>SUMIF(#REF!,'6800_Перечень обор.ГСП-2'!A9,#REF!)</f>
        <v>#REF!</v>
      </c>
      <c r="L9" s="16" t="e">
        <f>SUMIF(#REF!,'6800_Перечень обор.ГСП-2'!A9,#REF!)</f>
        <v>#REF!</v>
      </c>
      <c r="M9" s="16"/>
      <c r="N9" s="16"/>
      <c r="O9" s="16"/>
      <c r="P9" s="16"/>
      <c r="Q9" s="16"/>
      <c r="R9" s="16" t="e">
        <f>SUM(D9:Q9)</f>
        <v>#REF!</v>
      </c>
      <c r="S9" s="18">
        <f>105.19/2</f>
        <v>52.594999999999999</v>
      </c>
    </row>
    <row r="10" spans="1:24" s="19" customFormat="1" ht="28.5" customHeight="1">
      <c r="A10" s="13" t="s">
        <v>28</v>
      </c>
      <c r="B10" s="14" t="s">
        <v>29</v>
      </c>
      <c r="C10" s="15" t="s">
        <v>23</v>
      </c>
      <c r="D10" s="16" t="e">
        <f>SUMIF(#REF!,'6800_Перечень обор.ГСП-2'!A10,#REF!)</f>
        <v>#REF!</v>
      </c>
      <c r="E10" s="16" t="e">
        <f>SUMIF(#REF!,'6800_Перечень обор.ГСП-2'!A10,#REF!)</f>
        <v>#REF!</v>
      </c>
      <c r="F10" s="16" t="e">
        <f>SUMIF(#REF!,'6800_Перечень обор.ГСП-2'!A10,#REF!)</f>
        <v>#REF!</v>
      </c>
      <c r="G10" s="17" t="e">
        <f>SUMIF(#REF!,'6800_Перечень обор.ГСП-2'!A10,#REF!)</f>
        <v>#REF!</v>
      </c>
      <c r="H10" s="16"/>
      <c r="I10" s="17" t="e">
        <f>SUMIF(#REF!,'6800_Перечень обор.ГСП-2'!A10,#REF!)</f>
        <v>#REF!</v>
      </c>
      <c r="J10" s="16" t="e">
        <f>SUMIF(#REF!,'6800_Перечень обор.ГСП-2'!A10,#REF!)</f>
        <v>#REF!</v>
      </c>
      <c r="K10" s="16" t="e">
        <f>SUMIF(#REF!,'6800_Перечень обор.ГСП-2'!A10,#REF!)</f>
        <v>#REF!</v>
      </c>
      <c r="L10" s="16" t="e">
        <f>SUMIF(#REF!,'6800_Перечень обор.ГСП-2'!A10,#REF!)</f>
        <v>#REF!</v>
      </c>
      <c r="M10" s="16"/>
      <c r="N10" s="16"/>
      <c r="O10" s="16"/>
      <c r="P10" s="16"/>
      <c r="Q10" s="16"/>
      <c r="R10" s="16" t="e">
        <f t="shared" si="0"/>
        <v>#REF!</v>
      </c>
      <c r="S10" s="18">
        <v>69.930000000000007</v>
      </c>
    </row>
    <row r="11" spans="1:24" s="19" customFormat="1" ht="28.5" customHeight="1">
      <c r="A11" s="13" t="s">
        <v>30</v>
      </c>
      <c r="B11" s="14" t="s">
        <v>31</v>
      </c>
      <c r="C11" s="15" t="s">
        <v>23</v>
      </c>
      <c r="D11" s="16" t="e">
        <f>SUMIF(#REF!,'6800_Перечень обор.ГСП-2'!A11,#REF!)</f>
        <v>#REF!</v>
      </c>
      <c r="E11" s="16" t="e">
        <f>SUMIF(#REF!,'6800_Перечень обор.ГСП-2'!A11,#REF!)</f>
        <v>#REF!</v>
      </c>
      <c r="F11" s="16" t="e">
        <f>SUMIF(#REF!,'6800_Перечень обор.ГСП-2'!A11,#REF!)</f>
        <v>#REF!</v>
      </c>
      <c r="G11" s="17" t="e">
        <f>SUMIF(#REF!,'6800_Перечень обор.ГСП-2'!A11,#REF!)</f>
        <v>#REF!</v>
      </c>
      <c r="H11" s="16"/>
      <c r="I11" s="17" t="e">
        <f>SUMIF(#REF!,'6800_Перечень обор.ГСП-2'!A11,#REF!)</f>
        <v>#REF!</v>
      </c>
      <c r="J11" s="16" t="e">
        <f>SUMIF(#REF!,'6800_Перечень обор.ГСП-2'!A11,#REF!)</f>
        <v>#REF!</v>
      </c>
      <c r="K11" s="16" t="e">
        <f>SUMIF(#REF!,'6800_Перечень обор.ГСП-2'!A11,#REF!)</f>
        <v>#REF!</v>
      </c>
      <c r="L11" s="16" t="e">
        <f>SUMIF(#REF!,'6800_Перечень обор.ГСП-2'!A11,#REF!)</f>
        <v>#REF!</v>
      </c>
      <c r="M11" s="16"/>
      <c r="N11" s="16"/>
      <c r="O11" s="16"/>
      <c r="P11" s="16"/>
      <c r="Q11" s="16"/>
      <c r="R11" s="16" t="e">
        <f t="shared" si="0"/>
        <v>#REF!</v>
      </c>
      <c r="S11" s="18">
        <v>46.42</v>
      </c>
    </row>
    <row r="12" spans="1:24" s="19" customFormat="1" ht="28.5" customHeight="1">
      <c r="A12" s="13" t="s">
        <v>32</v>
      </c>
      <c r="B12" s="14" t="s">
        <v>33</v>
      </c>
      <c r="C12" s="15" t="s">
        <v>23</v>
      </c>
      <c r="D12" s="16" t="e">
        <f>SUMIF(#REF!,'6800_Перечень обор.ГСП-2'!A12,#REF!)+#REF!</f>
        <v>#REF!</v>
      </c>
      <c r="E12" s="16" t="e">
        <f>SUMIF(#REF!,'6800_Перечень обор.ГСП-2'!A12,#REF!)</f>
        <v>#REF!</v>
      </c>
      <c r="F12" s="16" t="e">
        <f>SUMIF(#REF!,'6800_Перечень обор.ГСП-2'!A12,#REF!)</f>
        <v>#REF!</v>
      </c>
      <c r="G12" s="17" t="e">
        <f>SUMIF(#REF!,'6800_Перечень обор.ГСП-2'!A12,#REF!)+#REF!-#REF!</f>
        <v>#REF!</v>
      </c>
      <c r="H12" s="16"/>
      <c r="I12" s="17" t="e">
        <f>SUMIF(#REF!,'6800_Перечень обор.ГСП-2'!A12,#REF!)+#REF!-#REF!</f>
        <v>#REF!</v>
      </c>
      <c r="J12" s="16" t="e">
        <f>SUMIF(#REF!,'6800_Перечень обор.ГСП-2'!A12,#REF!)+#REF!-#REF!</f>
        <v>#REF!</v>
      </c>
      <c r="K12" s="16" t="e">
        <f>SUMIF(#REF!,'6800_Перечень обор.ГСП-2'!A12,#REF!)</f>
        <v>#REF!</v>
      </c>
      <c r="L12" s="16" t="e">
        <f>SUMIF(#REF!,'6800_Перечень обор.ГСП-2'!A12,#REF!)</f>
        <v>#REF!</v>
      </c>
      <c r="M12" s="16"/>
      <c r="N12" s="16"/>
      <c r="O12" s="16"/>
      <c r="P12" s="16"/>
      <c r="Q12" s="16"/>
      <c r="R12" s="16" t="e">
        <f t="shared" si="0"/>
        <v>#REF!</v>
      </c>
      <c r="S12" s="20">
        <f>(55.16+33.1)/2</f>
        <v>44.129999999999995</v>
      </c>
    </row>
    <row r="13" spans="1:24" s="19" customFormat="1" ht="28.5" customHeight="1">
      <c r="A13" s="13" t="s">
        <v>34</v>
      </c>
      <c r="B13" s="14" t="s">
        <v>35</v>
      </c>
      <c r="C13" s="15" t="s">
        <v>23</v>
      </c>
      <c r="D13" s="16" t="e">
        <f>SUMIF(#REF!,'6800_Перечень обор.ГСП-2'!A13,#REF!)</f>
        <v>#REF!</v>
      </c>
      <c r="E13" s="16" t="e">
        <f>SUMIF(#REF!,'6800_Перечень обор.ГСП-2'!A13,#REF!)</f>
        <v>#REF!</v>
      </c>
      <c r="F13" s="16" t="e">
        <f>SUMIF(#REF!,'6800_Перечень обор.ГСП-2'!A13,#REF!)</f>
        <v>#REF!</v>
      </c>
      <c r="G13" s="17" t="e">
        <f>SUMIF(#REF!,'6800_Перечень обор.ГСП-2'!A13,#REF!)</f>
        <v>#REF!</v>
      </c>
      <c r="H13" s="16" t="e">
        <f>#REF!</f>
        <v>#REF!</v>
      </c>
      <c r="I13" s="17" t="e">
        <f>SUMIF(#REF!,'6800_Перечень обор.ГСП-2'!A13,#REF!)</f>
        <v>#REF!</v>
      </c>
      <c r="J13" s="16" t="e">
        <f>SUMIF(#REF!,'6800_Перечень обор.ГСП-2'!A13,#REF!)</f>
        <v>#REF!</v>
      </c>
      <c r="K13" s="16" t="e">
        <f>SUMIF(#REF!,'6800_Перечень обор.ГСП-2'!A13,#REF!)</f>
        <v>#REF!</v>
      </c>
      <c r="L13" s="16" t="e">
        <f>SUMIF(#REF!,'6800_Перечень обор.ГСП-2'!A13,#REF!)</f>
        <v>#REF!</v>
      </c>
      <c r="M13" s="16"/>
      <c r="N13" s="16"/>
      <c r="O13" s="16"/>
      <c r="P13" s="16"/>
      <c r="Q13" s="16"/>
      <c r="R13" s="16" t="e">
        <f t="shared" si="0"/>
        <v>#REF!</v>
      </c>
      <c r="S13" s="21">
        <v>58.14</v>
      </c>
    </row>
    <row r="14" spans="1:24" s="19" customFormat="1" ht="48.75" customHeight="1" thickBot="1">
      <c r="A14" s="13" t="s">
        <v>36</v>
      </c>
      <c r="B14" s="14" t="s">
        <v>37</v>
      </c>
      <c r="C14" s="15" t="s">
        <v>23</v>
      </c>
      <c r="D14" s="16"/>
      <c r="E14" s="16"/>
      <c r="F14" s="16"/>
      <c r="G14" s="17"/>
      <c r="H14" s="16"/>
      <c r="I14" s="17"/>
      <c r="J14" s="16" t="e">
        <f>#REF!</f>
        <v>#REF!</v>
      </c>
      <c r="K14" s="16"/>
      <c r="L14" s="16"/>
      <c r="M14" s="16"/>
      <c r="N14" s="16"/>
      <c r="O14" s="16"/>
      <c r="P14" s="16"/>
      <c r="Q14" s="16"/>
      <c r="R14" s="16" t="e">
        <f t="shared" si="0"/>
        <v>#REF!</v>
      </c>
      <c r="S14" s="20">
        <v>161.84</v>
      </c>
    </row>
    <row r="15" spans="1:24" s="28" customFormat="1" ht="27" customHeight="1" thickBot="1">
      <c r="A15" s="22"/>
      <c r="B15" s="23" t="s">
        <v>38</v>
      </c>
      <c r="C15" s="24"/>
      <c r="D15" s="25" t="e">
        <f t="shared" ref="D15:H15" si="1">SUM(D7:D14)</f>
        <v>#REF!</v>
      </c>
      <c r="E15" s="25" t="e">
        <f t="shared" si="1"/>
        <v>#REF!</v>
      </c>
      <c r="F15" s="25" t="e">
        <f t="shared" si="1"/>
        <v>#REF!</v>
      </c>
      <c r="G15" s="25" t="e">
        <f t="shared" si="1"/>
        <v>#REF!</v>
      </c>
      <c r="H15" s="25" t="e">
        <f t="shared" si="1"/>
        <v>#REF!</v>
      </c>
      <c r="I15" s="25" t="e">
        <f>SUM(I7:I14)</f>
        <v>#REF!</v>
      </c>
      <c r="J15" s="25" t="e">
        <f>SUM(J7:J14)</f>
        <v>#REF!</v>
      </c>
      <c r="K15" s="25" t="e">
        <f t="shared" ref="K15:Q15" si="2">SUM(K7:K14)</f>
        <v>#REF!</v>
      </c>
      <c r="L15" s="25" t="e">
        <f t="shared" si="2"/>
        <v>#REF!</v>
      </c>
      <c r="M15" s="25">
        <f t="shared" si="2"/>
        <v>0</v>
      </c>
      <c r="N15" s="25" t="e">
        <f t="shared" si="2"/>
        <v>#REF!</v>
      </c>
      <c r="O15" s="25">
        <f t="shared" si="2"/>
        <v>0</v>
      </c>
      <c r="P15" s="25">
        <f t="shared" si="2"/>
        <v>0</v>
      </c>
      <c r="Q15" s="25">
        <f t="shared" si="2"/>
        <v>0</v>
      </c>
      <c r="R15" s="26" t="e">
        <f>SUM(R7:R14)</f>
        <v>#REF!</v>
      </c>
      <c r="S15" s="27"/>
    </row>
    <row r="16" spans="1:24">
      <c r="D16" s="29" t="e">
        <f>D15-'[11]обор-е ГСП-2'!AB6-'[11]пакеты ГСП-2'!K157</f>
        <v>#REF!</v>
      </c>
      <c r="E16" s="29" t="e">
        <f>E15-'[11]обор-е ГСП-2'!AB345</f>
        <v>#REF!</v>
      </c>
      <c r="F16" s="29" t="e">
        <f>F15-'[11]обор-е ГСП-2'!AB386</f>
        <v>#REF!</v>
      </c>
      <c r="G16" s="29" t="e">
        <f>G15-'[11]обор-е ГСП-2'!AB402-'[11]пакеты ГСП-2'!K174</f>
        <v>#REF!</v>
      </c>
      <c r="H16" s="29" t="e">
        <f>H15-'[11]обор-е ГСП-2'!AB429</f>
        <v>#REF!</v>
      </c>
      <c r="I16" s="29" t="e">
        <f>I15-'[11]обор-е ГСП-2'!AB431-'[11]пакеты ГСП-2'!K183</f>
        <v>#REF!</v>
      </c>
      <c r="J16" s="29" t="e">
        <f>J15-'[11]обор-е ГСП-2'!AB439-'[11]пакеты ГСП-2'!K211</f>
        <v>#REF!</v>
      </c>
      <c r="K16" s="29" t="e">
        <f>K15-'[11]обор-е ГСП-2'!AB468</f>
        <v>#REF!</v>
      </c>
      <c r="L16" s="30" t="e">
        <f>L15-'[11]обор-е ГСП-2'!AB487</f>
        <v>#REF!</v>
      </c>
      <c r="N16" s="31" t="e">
        <f>N15-'[11]обор-е ГСП-2'!AB516</f>
        <v>#REF!</v>
      </c>
      <c r="R16" s="29" t="e">
        <f>R15-'[11]обор-е ГСП-2'!AB5-'[11]пакеты ГСП-2'!K6</f>
        <v>#REF!</v>
      </c>
      <c r="S16" s="32"/>
    </row>
    <row r="17" spans="17:18" ht="15" customHeight="1">
      <c r="R17" s="2" t="s">
        <v>39</v>
      </c>
    </row>
    <row r="18" spans="17:18" ht="15" customHeight="1">
      <c r="Q18" s="2" t="s">
        <v>40</v>
      </c>
      <c r="R18" s="33" t="e">
        <f>'[11]обор-е ГСП-2'!AB5-L9</f>
        <v>#REF!</v>
      </c>
    </row>
    <row r="19" spans="17:18" ht="15" customHeight="1">
      <c r="Q19" s="2" t="s">
        <v>41</v>
      </c>
      <c r="R19" s="33" t="e">
        <f>'[11]пакеты ГСП-2'!L6+L9</f>
        <v>#REF!</v>
      </c>
    </row>
    <row r="20" spans="17:18" ht="15" customHeight="1">
      <c r="Q20" s="2" t="s">
        <v>42</v>
      </c>
      <c r="R20" s="33">
        <f>'[11]пакеты ГСП-2'!M6</f>
        <v>42</v>
      </c>
    </row>
    <row r="21" spans="17:18" ht="15" customHeight="1">
      <c r="Q21" s="2" t="s">
        <v>43</v>
      </c>
      <c r="R21" s="33">
        <f>'[11]пакеты ГСП-2'!K6-'[11]пакеты ГСП-2'!L6-'[11]пакеты ГСП-2'!M6</f>
        <v>4180.625</v>
      </c>
    </row>
    <row r="22" spans="17:18" ht="15" customHeight="1">
      <c r="R22" s="29" t="e">
        <f>SUM(R18:R21)</f>
        <v>#REF!</v>
      </c>
    </row>
  </sheetData>
  <mergeCells count="7">
    <mergeCell ref="A1:S1"/>
    <mergeCell ref="A4:A5"/>
    <mergeCell ref="B4:B5"/>
    <mergeCell ref="C4:C5"/>
    <mergeCell ref="D4:Q4"/>
    <mergeCell ref="R4:R5"/>
    <mergeCell ref="S4:S5"/>
  </mergeCells>
  <pageMargins left="0.7" right="0.7" top="0.75" bottom="0.75" header="0.3" footer="0.3"/>
  <pageSetup paperSize="8" scale="4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AE8C-E4AC-4CA6-A393-61E5B19E0A9D}">
  <dimension ref="A1:K30"/>
  <sheetViews>
    <sheetView tabSelected="1" workbookViewId="0">
      <selection activeCell="O9" sqref="O9"/>
    </sheetView>
  </sheetViews>
  <sheetFormatPr defaultRowHeight="15"/>
  <cols>
    <col min="4" max="4" width="26.85546875" customWidth="1"/>
    <col min="6" max="6" width="13.7109375" customWidth="1"/>
  </cols>
  <sheetData>
    <row r="1" spans="1:11">
      <c r="A1" s="60" t="s">
        <v>44</v>
      </c>
      <c r="B1" s="56" t="s">
        <v>45</v>
      </c>
      <c r="C1" s="62" t="s">
        <v>46</v>
      </c>
      <c r="D1" s="56" t="s">
        <v>47</v>
      </c>
      <c r="E1" s="64" t="s">
        <v>48</v>
      </c>
      <c r="F1" s="56" t="s">
        <v>49</v>
      </c>
      <c r="G1" s="56" t="s">
        <v>50</v>
      </c>
      <c r="H1" s="58" t="s">
        <v>51</v>
      </c>
      <c r="I1" s="35"/>
      <c r="J1" s="58" t="s">
        <v>52</v>
      </c>
      <c r="K1" s="58" t="s">
        <v>53</v>
      </c>
    </row>
    <row r="2" spans="1:11" ht="27" customHeight="1">
      <c r="A2" s="61"/>
      <c r="B2" s="57"/>
      <c r="C2" s="63"/>
      <c r="D2" s="64"/>
      <c r="E2" s="65"/>
      <c r="F2" s="57"/>
      <c r="G2" s="57"/>
      <c r="H2" s="59"/>
      <c r="I2" s="35"/>
      <c r="J2" s="58"/>
      <c r="K2" s="58"/>
    </row>
    <row r="3" spans="1:11">
      <c r="A3" s="42">
        <v>1</v>
      </c>
      <c r="B3" s="36" t="s">
        <v>15</v>
      </c>
      <c r="C3" s="36" t="s">
        <v>56</v>
      </c>
      <c r="D3" s="40" t="s">
        <v>57</v>
      </c>
      <c r="E3" s="40">
        <v>6831</v>
      </c>
      <c r="F3" s="40" t="s">
        <v>58</v>
      </c>
      <c r="G3" s="40">
        <v>1</v>
      </c>
      <c r="H3" s="38">
        <v>234800</v>
      </c>
      <c r="I3" s="35"/>
      <c r="J3" s="38">
        <v>234800</v>
      </c>
      <c r="K3" s="39">
        <v>234.8</v>
      </c>
    </row>
    <row r="4" spans="1:11">
      <c r="A4" s="42">
        <v>2</v>
      </c>
      <c r="B4" s="36" t="s">
        <v>15</v>
      </c>
      <c r="C4" s="36" t="s">
        <v>59</v>
      </c>
      <c r="D4" s="40" t="s">
        <v>60</v>
      </c>
      <c r="E4" s="40">
        <v>6852</v>
      </c>
      <c r="F4" s="36" t="s">
        <v>61</v>
      </c>
      <c r="G4" s="40">
        <v>1</v>
      </c>
      <c r="H4" s="38">
        <v>2000</v>
      </c>
      <c r="I4" s="35"/>
      <c r="J4" s="38">
        <v>2000</v>
      </c>
      <c r="K4" s="39">
        <v>2</v>
      </c>
    </row>
    <row r="5" spans="1:11">
      <c r="A5" s="42">
        <v>3</v>
      </c>
      <c r="B5" s="36" t="s">
        <v>15</v>
      </c>
      <c r="C5" s="36" t="s">
        <v>62</v>
      </c>
      <c r="D5" s="40" t="s">
        <v>63</v>
      </c>
      <c r="E5" s="40">
        <v>6831</v>
      </c>
      <c r="F5" s="36" t="s">
        <v>64</v>
      </c>
      <c r="G5" s="40">
        <v>1</v>
      </c>
      <c r="H5" s="38">
        <v>1200</v>
      </c>
      <c r="I5" s="35"/>
      <c r="J5" s="38">
        <v>1200</v>
      </c>
      <c r="K5" s="39">
        <v>1.2</v>
      </c>
    </row>
    <row r="6" spans="1:11" ht="25.5">
      <c r="A6" s="42">
        <v>4</v>
      </c>
      <c r="B6" s="36" t="s">
        <v>15</v>
      </c>
      <c r="C6" s="36" t="s">
        <v>65</v>
      </c>
      <c r="D6" s="40" t="s">
        <v>54</v>
      </c>
      <c r="E6" s="40">
        <v>6820</v>
      </c>
      <c r="F6" s="36" t="s">
        <v>66</v>
      </c>
      <c r="G6" s="40">
        <v>3</v>
      </c>
      <c r="H6" s="38">
        <v>350</v>
      </c>
      <c r="I6" s="35"/>
      <c r="J6" s="38">
        <v>1050</v>
      </c>
      <c r="K6" s="39">
        <v>1.05</v>
      </c>
    </row>
    <row r="7" spans="1:11" ht="25.5">
      <c r="A7" s="42">
        <v>5</v>
      </c>
      <c r="B7" s="36" t="s">
        <v>15</v>
      </c>
      <c r="C7" s="36" t="s">
        <v>67</v>
      </c>
      <c r="D7" s="40" t="s">
        <v>55</v>
      </c>
      <c r="E7" s="40">
        <v>6820</v>
      </c>
      <c r="F7" s="36" t="s">
        <v>66</v>
      </c>
      <c r="G7" s="40">
        <v>1</v>
      </c>
      <c r="H7" s="38">
        <v>250</v>
      </c>
      <c r="I7" s="35"/>
      <c r="J7" s="38">
        <v>250</v>
      </c>
      <c r="K7" s="39">
        <v>0.25</v>
      </c>
    </row>
    <row r="8" spans="1:11">
      <c r="A8" s="42">
        <v>6</v>
      </c>
      <c r="B8" s="36" t="s">
        <v>15</v>
      </c>
      <c r="C8" s="36" t="s">
        <v>68</v>
      </c>
      <c r="D8" s="40" t="s">
        <v>57</v>
      </c>
      <c r="E8" s="40">
        <v>6831</v>
      </c>
      <c r="F8" s="40" t="s">
        <v>58</v>
      </c>
      <c r="G8" s="40">
        <v>1</v>
      </c>
      <c r="H8" s="38">
        <v>234800</v>
      </c>
      <c r="I8" s="35"/>
      <c r="J8" s="38">
        <v>234800</v>
      </c>
      <c r="K8" s="39">
        <v>234.8</v>
      </c>
    </row>
    <row r="9" spans="1:11" ht="38.25">
      <c r="A9" s="42">
        <v>7</v>
      </c>
      <c r="B9" s="36" t="s">
        <v>15</v>
      </c>
      <c r="C9" s="36" t="s">
        <v>69</v>
      </c>
      <c r="D9" s="40" t="s">
        <v>60</v>
      </c>
      <c r="E9" s="40">
        <v>6852</v>
      </c>
      <c r="F9" s="40" t="s">
        <v>70</v>
      </c>
      <c r="G9" s="40">
        <v>1</v>
      </c>
      <c r="H9" s="38">
        <v>2000</v>
      </c>
      <c r="I9" s="35"/>
      <c r="J9" s="45">
        <v>2000</v>
      </c>
      <c r="K9" s="39">
        <v>2</v>
      </c>
    </row>
    <row r="10" spans="1:11">
      <c r="A10" s="42">
        <v>8</v>
      </c>
      <c r="B10" s="36" t="s">
        <v>15</v>
      </c>
      <c r="C10" s="36" t="s">
        <v>71</v>
      </c>
      <c r="D10" s="40" t="s">
        <v>63</v>
      </c>
      <c r="E10" s="40">
        <v>6831</v>
      </c>
      <c r="F10" s="36" t="s">
        <v>64</v>
      </c>
      <c r="G10" s="40">
        <v>1</v>
      </c>
      <c r="H10" s="38">
        <v>1200</v>
      </c>
      <c r="I10" s="35"/>
      <c r="J10" s="45">
        <v>1200</v>
      </c>
      <c r="K10" s="39">
        <v>1.2</v>
      </c>
    </row>
    <row r="11" spans="1:11" ht="25.5">
      <c r="A11" s="42">
        <v>9</v>
      </c>
      <c r="B11" s="36" t="s">
        <v>15</v>
      </c>
      <c r="C11" s="36" t="s">
        <v>72</v>
      </c>
      <c r="D11" s="40" t="s">
        <v>54</v>
      </c>
      <c r="E11" s="40">
        <v>6820</v>
      </c>
      <c r="F11" s="36" t="s">
        <v>66</v>
      </c>
      <c r="G11" s="40">
        <v>3</v>
      </c>
      <c r="H11" s="38">
        <v>350</v>
      </c>
      <c r="I11" s="35"/>
      <c r="J11" s="45">
        <v>1050</v>
      </c>
      <c r="K11" s="39">
        <v>1.05</v>
      </c>
    </row>
    <row r="12" spans="1:11" ht="25.5">
      <c r="A12" s="42">
        <v>10</v>
      </c>
      <c r="B12" s="36" t="s">
        <v>15</v>
      </c>
      <c r="C12" s="36" t="s">
        <v>73</v>
      </c>
      <c r="D12" s="40" t="s">
        <v>55</v>
      </c>
      <c r="E12" s="40">
        <v>6820</v>
      </c>
      <c r="F12" s="36" t="s">
        <v>66</v>
      </c>
      <c r="G12" s="40">
        <v>1</v>
      </c>
      <c r="H12" s="38">
        <v>250</v>
      </c>
      <c r="I12" s="35"/>
      <c r="J12" s="45">
        <v>250</v>
      </c>
      <c r="K12" s="39">
        <v>0.25</v>
      </c>
    </row>
    <row r="13" spans="1:11" ht="25.5">
      <c r="A13" s="42">
        <v>11</v>
      </c>
      <c r="B13" s="36" t="s">
        <v>15</v>
      </c>
      <c r="C13" s="36" t="s">
        <v>74</v>
      </c>
      <c r="D13" s="41" t="s">
        <v>75</v>
      </c>
      <c r="E13" s="41" t="s">
        <v>32</v>
      </c>
      <c r="F13" s="41" t="s">
        <v>76</v>
      </c>
      <c r="G13" s="43">
        <v>1</v>
      </c>
      <c r="H13" s="44">
        <v>12000</v>
      </c>
      <c r="I13" s="35"/>
      <c r="J13" s="46">
        <v>12000</v>
      </c>
      <c r="K13" s="39">
        <v>12</v>
      </c>
    </row>
    <row r="14" spans="1:11" ht="25.5">
      <c r="A14" s="42">
        <v>12</v>
      </c>
      <c r="B14" s="36" t="s">
        <v>15</v>
      </c>
      <c r="C14" s="36" t="s">
        <v>77</v>
      </c>
      <c r="D14" s="41" t="s">
        <v>75</v>
      </c>
      <c r="E14" s="41" t="s">
        <v>32</v>
      </c>
      <c r="F14" s="41" t="s">
        <v>76</v>
      </c>
      <c r="G14" s="43">
        <v>1</v>
      </c>
      <c r="H14" s="44">
        <v>12000</v>
      </c>
      <c r="I14" s="35"/>
      <c r="J14" s="46">
        <v>12000</v>
      </c>
      <c r="K14" s="39">
        <v>12</v>
      </c>
    </row>
    <row r="15" spans="1:11" ht="25.5">
      <c r="A15" s="42">
        <v>13</v>
      </c>
      <c r="B15" s="36" t="s">
        <v>15</v>
      </c>
      <c r="C15" s="36" t="s">
        <v>78</v>
      </c>
      <c r="D15" s="41" t="s">
        <v>75</v>
      </c>
      <c r="E15" s="41" t="s">
        <v>32</v>
      </c>
      <c r="F15" s="41" t="s">
        <v>79</v>
      </c>
      <c r="G15" s="43">
        <v>1</v>
      </c>
      <c r="H15" s="44">
        <v>20000</v>
      </c>
      <c r="I15" s="35"/>
      <c r="J15" s="46">
        <v>20000</v>
      </c>
      <c r="K15" s="39">
        <v>20</v>
      </c>
    </row>
    <row r="16" spans="1:11" ht="25.5">
      <c r="A16" s="42">
        <v>14</v>
      </c>
      <c r="B16" s="36" t="s">
        <v>15</v>
      </c>
      <c r="C16" s="36" t="s">
        <v>80</v>
      </c>
      <c r="D16" s="41" t="s">
        <v>75</v>
      </c>
      <c r="E16" s="41" t="s">
        <v>32</v>
      </c>
      <c r="F16" s="41" t="s">
        <v>79</v>
      </c>
      <c r="G16" s="43">
        <v>1</v>
      </c>
      <c r="H16" s="44">
        <v>20000</v>
      </c>
      <c r="I16" s="35"/>
      <c r="J16" s="46">
        <v>20000</v>
      </c>
      <c r="K16" s="39">
        <v>20</v>
      </c>
    </row>
    <row r="17" spans="1:11" ht="25.5">
      <c r="A17" s="42">
        <v>15</v>
      </c>
      <c r="B17" s="36" t="s">
        <v>15</v>
      </c>
      <c r="C17" s="36" t="s">
        <v>81</v>
      </c>
      <c r="D17" s="41" t="s">
        <v>82</v>
      </c>
      <c r="E17" s="41">
        <v>6852</v>
      </c>
      <c r="F17" s="41" t="s">
        <v>83</v>
      </c>
      <c r="G17" s="43">
        <v>1</v>
      </c>
      <c r="H17" s="37">
        <v>500</v>
      </c>
      <c r="I17" s="35"/>
      <c r="J17" s="47">
        <v>500</v>
      </c>
      <c r="K17" s="39">
        <v>0.5</v>
      </c>
    </row>
    <row r="18" spans="1:11" ht="25.5">
      <c r="A18" s="42">
        <v>16</v>
      </c>
      <c r="B18" s="36" t="s">
        <v>15</v>
      </c>
      <c r="C18" s="36" t="s">
        <v>84</v>
      </c>
      <c r="D18" s="41" t="s">
        <v>82</v>
      </c>
      <c r="E18" s="41">
        <v>6852</v>
      </c>
      <c r="F18" s="41" t="s">
        <v>83</v>
      </c>
      <c r="G18" s="43">
        <v>1</v>
      </c>
      <c r="H18" s="37">
        <v>500</v>
      </c>
      <c r="I18" s="35"/>
      <c r="J18" s="47">
        <v>500</v>
      </c>
      <c r="K18" s="39">
        <v>0.5</v>
      </c>
    </row>
    <row r="19" spans="1:11" ht="25.5">
      <c r="A19" s="42">
        <v>17</v>
      </c>
      <c r="B19" s="36" t="s">
        <v>15</v>
      </c>
      <c r="C19" s="36" t="s">
        <v>85</v>
      </c>
      <c r="D19" s="41" t="s">
        <v>86</v>
      </c>
      <c r="E19" s="41">
        <v>6852</v>
      </c>
      <c r="F19" s="41" t="s">
        <v>83</v>
      </c>
      <c r="G19" s="43">
        <v>1</v>
      </c>
      <c r="H19" s="37">
        <v>500</v>
      </c>
      <c r="I19" s="35"/>
      <c r="J19" s="47">
        <v>500</v>
      </c>
      <c r="K19" s="39">
        <v>0.5</v>
      </c>
    </row>
    <row r="20" spans="1:11" ht="27">
      <c r="A20" s="42">
        <v>18</v>
      </c>
      <c r="B20" s="36" t="s">
        <v>15</v>
      </c>
      <c r="C20" s="36" t="s">
        <v>87</v>
      </c>
      <c r="D20" s="41" t="s">
        <v>88</v>
      </c>
      <c r="E20" s="41">
        <v>6852</v>
      </c>
      <c r="F20" s="41" t="s">
        <v>89</v>
      </c>
      <c r="G20" s="43">
        <v>1</v>
      </c>
      <c r="H20" s="37">
        <v>150</v>
      </c>
      <c r="I20" s="35"/>
      <c r="J20" s="47">
        <v>150</v>
      </c>
      <c r="K20" s="39">
        <v>0.15</v>
      </c>
    </row>
    <row r="21" spans="1:11" ht="27">
      <c r="A21" s="42">
        <v>19</v>
      </c>
      <c r="B21" s="36" t="s">
        <v>15</v>
      </c>
      <c r="C21" s="36" t="s">
        <v>90</v>
      </c>
      <c r="D21" s="41" t="s">
        <v>88</v>
      </c>
      <c r="E21" s="41">
        <v>6852</v>
      </c>
      <c r="F21" s="41" t="s">
        <v>91</v>
      </c>
      <c r="G21" s="43">
        <v>1</v>
      </c>
      <c r="H21" s="37">
        <v>150</v>
      </c>
      <c r="I21" s="35"/>
      <c r="J21" s="47">
        <v>150</v>
      </c>
      <c r="K21" s="39">
        <v>0.15</v>
      </c>
    </row>
    <row r="22" spans="1:11" ht="26.25">
      <c r="A22" s="42">
        <v>20</v>
      </c>
      <c r="B22" s="36" t="s">
        <v>15</v>
      </c>
      <c r="C22" s="36" t="s">
        <v>92</v>
      </c>
      <c r="D22" s="41" t="s">
        <v>93</v>
      </c>
      <c r="E22" s="41">
        <v>6852</v>
      </c>
      <c r="F22" s="41" t="s">
        <v>89</v>
      </c>
      <c r="G22" s="43">
        <v>1</v>
      </c>
      <c r="H22" s="37">
        <v>150</v>
      </c>
      <c r="I22" s="35"/>
      <c r="J22" s="47">
        <v>150</v>
      </c>
      <c r="K22" s="39">
        <v>0.15</v>
      </c>
    </row>
    <row r="23" spans="1:11" ht="26.25">
      <c r="A23" s="42">
        <v>21</v>
      </c>
      <c r="B23" s="36" t="s">
        <v>15</v>
      </c>
      <c r="C23" s="36" t="s">
        <v>94</v>
      </c>
      <c r="D23" s="41" t="s">
        <v>93</v>
      </c>
      <c r="E23" s="41">
        <v>6852</v>
      </c>
      <c r="F23" s="41" t="s">
        <v>89</v>
      </c>
      <c r="G23" s="43">
        <v>1</v>
      </c>
      <c r="H23" s="37">
        <v>150</v>
      </c>
      <c r="I23" s="35"/>
      <c r="J23" s="47">
        <v>150</v>
      </c>
      <c r="K23" s="39">
        <v>0.15</v>
      </c>
    </row>
    <row r="24" spans="1:11" ht="26.25">
      <c r="A24" s="42">
        <v>22</v>
      </c>
      <c r="B24" s="36" t="s">
        <v>15</v>
      </c>
      <c r="C24" s="36" t="s">
        <v>95</v>
      </c>
      <c r="D24" s="41" t="s">
        <v>96</v>
      </c>
      <c r="E24" s="41">
        <v>6820</v>
      </c>
      <c r="F24" s="41" t="s">
        <v>97</v>
      </c>
      <c r="G24" s="43">
        <v>1</v>
      </c>
      <c r="H24" s="37">
        <v>1500</v>
      </c>
      <c r="I24" s="35"/>
      <c r="J24" s="47">
        <v>1500</v>
      </c>
      <c r="K24" s="39">
        <v>1.5</v>
      </c>
    </row>
    <row r="25" spans="1:11" ht="25.5">
      <c r="A25" s="42">
        <v>23</v>
      </c>
      <c r="B25" s="36" t="s">
        <v>15</v>
      </c>
      <c r="C25" s="36" t="s">
        <v>98</v>
      </c>
      <c r="D25" s="41" t="s">
        <v>99</v>
      </c>
      <c r="E25" s="41">
        <v>6820</v>
      </c>
      <c r="F25" s="41" t="s">
        <v>100</v>
      </c>
      <c r="G25" s="43">
        <v>1</v>
      </c>
      <c r="H25" s="37">
        <v>2000</v>
      </c>
      <c r="I25" s="35"/>
      <c r="J25" s="47">
        <v>2000</v>
      </c>
      <c r="K25" s="39">
        <v>2</v>
      </c>
    </row>
    <row r="26" spans="1:11" ht="26.25">
      <c r="A26" s="42">
        <v>24</v>
      </c>
      <c r="B26" s="36" t="s">
        <v>15</v>
      </c>
      <c r="C26" s="36" t="s">
        <v>101</v>
      </c>
      <c r="D26" s="41" t="s">
        <v>102</v>
      </c>
      <c r="E26" s="41">
        <v>6852</v>
      </c>
      <c r="F26" s="41" t="s">
        <v>103</v>
      </c>
      <c r="G26" s="43">
        <v>1</v>
      </c>
      <c r="H26" s="37">
        <v>2500</v>
      </c>
      <c r="I26" s="35"/>
      <c r="J26" s="47">
        <v>2500</v>
      </c>
      <c r="K26" s="39">
        <v>2.5</v>
      </c>
    </row>
    <row r="27" spans="1:11" ht="26.25">
      <c r="A27" s="42">
        <v>25</v>
      </c>
      <c r="B27" s="36" t="s">
        <v>15</v>
      </c>
      <c r="C27" s="36" t="s">
        <v>104</v>
      </c>
      <c r="D27" s="41" t="s">
        <v>102</v>
      </c>
      <c r="E27" s="41">
        <v>6852</v>
      </c>
      <c r="F27" s="41" t="s">
        <v>103</v>
      </c>
      <c r="G27" s="43">
        <v>1</v>
      </c>
      <c r="H27" s="37">
        <v>2500</v>
      </c>
      <c r="I27" s="35"/>
      <c r="J27" s="47">
        <v>2500</v>
      </c>
      <c r="K27" s="39">
        <v>2.5</v>
      </c>
    </row>
    <row r="28" spans="1:11" ht="26.25">
      <c r="A28" s="42">
        <v>26</v>
      </c>
      <c r="B28" s="36" t="s">
        <v>15</v>
      </c>
      <c r="C28" s="36" t="s">
        <v>105</v>
      </c>
      <c r="D28" s="41" t="s">
        <v>106</v>
      </c>
      <c r="E28" s="41">
        <v>6820</v>
      </c>
      <c r="F28" s="41" t="s">
        <v>107</v>
      </c>
      <c r="G28" s="43">
        <v>1</v>
      </c>
      <c r="H28" s="37">
        <v>1100</v>
      </c>
      <c r="I28" s="35"/>
      <c r="J28" s="47">
        <v>1100</v>
      </c>
      <c r="K28" s="39">
        <v>1.1000000000000001</v>
      </c>
    </row>
    <row r="29" spans="1:11">
      <c r="A29" s="42">
        <v>27</v>
      </c>
      <c r="B29" s="36" t="s">
        <v>15</v>
      </c>
      <c r="C29" s="36" t="s">
        <v>108</v>
      </c>
      <c r="D29" s="41" t="s">
        <v>109</v>
      </c>
      <c r="E29" s="41" t="s">
        <v>34</v>
      </c>
      <c r="F29" s="41" t="s">
        <v>110</v>
      </c>
      <c r="G29" s="43">
        <v>1</v>
      </c>
      <c r="H29" s="37">
        <v>500</v>
      </c>
      <c r="I29" s="35"/>
      <c r="J29" s="47">
        <v>500</v>
      </c>
      <c r="K29" s="39">
        <v>0.5</v>
      </c>
    </row>
    <row r="30" spans="1:11">
      <c r="A30" s="42">
        <v>28</v>
      </c>
      <c r="B30" s="36" t="s">
        <v>15</v>
      </c>
      <c r="C30" s="36" t="s">
        <v>111</v>
      </c>
      <c r="D30" s="41" t="s">
        <v>109</v>
      </c>
      <c r="E30" s="41" t="s">
        <v>34</v>
      </c>
      <c r="F30" s="41" t="s">
        <v>110</v>
      </c>
      <c r="G30" s="43">
        <v>1</v>
      </c>
      <c r="H30" s="37">
        <v>500</v>
      </c>
      <c r="I30" s="35"/>
      <c r="J30" s="47">
        <v>500</v>
      </c>
      <c r="K30" s="39">
        <v>0.5</v>
      </c>
    </row>
  </sheetData>
  <mergeCells count="10">
    <mergeCell ref="G1:G2"/>
    <mergeCell ref="H1:H2"/>
    <mergeCell ref="J1:J2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6800_Перечень обор.ГСП-2</vt:lpstr>
      <vt:lpstr>Лист1</vt:lpstr>
    </vt:vector>
  </TitlesOfParts>
  <Company>GPN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Полегаев Андрей Викторович</dc:creator>
  <cp:lastModifiedBy>Антон Белорусов</cp:lastModifiedBy>
  <dcterms:created xsi:type="dcterms:W3CDTF">2025-10-08T13:35:45Z</dcterms:created>
  <dcterms:modified xsi:type="dcterms:W3CDTF">2026-03-18T04:35:22Z</dcterms:modified>
</cp:coreProperties>
</file>