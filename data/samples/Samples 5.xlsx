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tony\Desktop\Данные_АССЕ\"/>
    </mc:Choice>
  </mc:AlternateContent>
  <xr:revisionPtr revIDLastSave="0" documentId="13_ncr:1_{09CE2C02-5DDC-49F4-AB58-E214B24C8264}" xr6:coauthVersionLast="47" xr6:coauthVersionMax="47" xr10:uidLastSave="{00000000-0000-0000-0000-000000000000}"/>
  <bookViews>
    <workbookView xWindow="-120" yWindow="-120" windowWidth="29040" windowHeight="15990" xr2:uid="{2F3DE261-22B0-428B-9032-71635323A981}"/>
  </bookViews>
  <sheets>
    <sheet name="0407.130" sheetId="1" r:id="rId1"/>
  </sheets>
  <definedNames>
    <definedName name="_xlnm._FilterDatabase" localSheetId="0" hidden="1">'0407.130'!$A$1:$V$33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3" i="1" l="1"/>
  <c r="X36" i="1" s="1"/>
  <c r="X32" i="1"/>
  <c r="X31" i="1"/>
  <c r="X30" i="1"/>
  <c r="X29" i="1"/>
  <c r="X28" i="1"/>
  <c r="X27" i="1"/>
  <c r="X26" i="1"/>
  <c r="X25" i="1"/>
  <c r="X24" i="1"/>
  <c r="X23" i="1"/>
  <c r="X22" i="1"/>
  <c r="X21" i="1"/>
  <c r="X20" i="1"/>
  <c r="X19" i="1"/>
  <c r="X18" i="1"/>
  <c r="X17" i="1"/>
  <c r="X16" i="1"/>
  <c r="X15" i="1"/>
  <c r="X14" i="1"/>
  <c r="X13" i="1"/>
  <c r="X12" i="1"/>
  <c r="X11" i="1"/>
  <c r="X10" i="1"/>
  <c r="X9" i="1"/>
  <c r="X8" i="1"/>
  <c r="X7" i="1"/>
  <c r="X6" i="1"/>
  <c r="X5" i="1"/>
  <c r="X4" i="1"/>
  <c r="X3" i="1"/>
  <c r="X35" i="1" s="1"/>
</calcChain>
</file>

<file path=xl/sharedStrings.xml><?xml version="1.0" encoding="utf-8"?>
<sst xmlns="http://schemas.openxmlformats.org/spreadsheetml/2006/main" count="530" uniqueCount="142">
  <si>
    <t>ПОЗИЦИЯ
/NO.</t>
  </si>
  <si>
    <t>ТАГОВЫЙ НОМЕР ОБОРУДОВАНИЯ
/EQPT. TAG</t>
  </si>
  <si>
    <t>НАИМЕНОВАНИЕ ОБОРУДОВАНИЯ
(РУССКИЙ)
/EQPT. NAME (English)</t>
  </si>
  <si>
    <t>ТЕХ. ХАРАКТЕРИСТИКИ
/SPEC.</t>
  </si>
  <si>
    <t>КОЛ.
/QTY</t>
  </si>
  <si>
    <t>ВЕС ЕДИНИЦЫ(кг)
/UNIT WT
(kg)</t>
  </si>
  <si>
    <t>МАТЕРИАЛ
/MEDIUM</t>
  </si>
  <si>
    <t>ОСНОВНЫЕ РАЗМЕРЫ
(ДxШxВ)(мм)
/MAIN DIMENSIONS
(LxWxH)(mm)</t>
  </si>
  <si>
    <t>РАБОЧИЙ РЕЖИМ 
(ПОСТ./ПЕРЕМЕН.)
/WORKING MODE
(CON./INT.)</t>
  </si>
  <si>
    <t>РАБОЧЕЕ СОСТОЯНИЕ
/OPERATION STATUS</t>
  </si>
  <si>
    <t>ДВИГАТЕЛЬ / MOTOR</t>
  </si>
  <si>
    <t>РЕЖИМ УПРАВЛЕНИЯ / CONTROL MODE</t>
  </si>
  <si>
    <t>Прочее / OTHERS</t>
  </si>
  <si>
    <t>ЗАМЕЧАНИЯ
/REMARKS</t>
  </si>
  <si>
    <t>МОЩНОСТЬ
(кВт)
/POWER
(kW)</t>
  </si>
  <si>
    <t>ПРЕОБРАЗОВАНИЕ ЧАСТОТЫ
(ДА/НЕТ)
/FREQUENCY CONVERSION
(Y/N)</t>
  </si>
  <si>
    <t>НАПРЯЖЕНИЕ (В)
/VOLTAGE(V)</t>
  </si>
  <si>
    <t>ВЗРЫВОЗАЩИТА
(ДА/НЕТ))
EXPLOSION /PROTECTION
(Y/N)</t>
  </si>
  <si>
    <t>УРОВЕНЬ ЗАЩИТЫ 
/PROTECTION LEVEL</t>
  </si>
  <si>
    <t>МЕСТНОЕ УПРАВЛЕНИЕ
/LOCAL CONTROL</t>
  </si>
  <si>
    <t>ДИСТ. УПРАВЛЕНИЕ
/REMOTE CONTROL</t>
  </si>
  <si>
    <t>ПРЯМ. И ОБРАТ. ВРАЩЕНИЕ
/FWD/REV ROTATION</t>
  </si>
  <si>
    <t>ПОЛНЫЙ КОМЛЕКТ ПЛК 
/COMPLETE SET OF PLC</t>
  </si>
  <si>
    <t>МЕСТО РАСПОЛОЖЕНИЯ ОБОРУДОВАНИЯ
/EQUIPMENT LOCATION</t>
  </si>
  <si>
    <t>ОБОРУДОВАНИЯ ДЦИ
/LONG LEAD ITEAM</t>
  </si>
  <si>
    <t>общий вес  с учетом поз.</t>
  </si>
  <si>
    <t>130-CR-0001</t>
  </si>
  <si>
    <t>Мостовой кран с крюком
/ OVERHEAD CRANE WITH HOOK</t>
  </si>
  <si>
    <r>
      <rPr>
        <sz val="10"/>
        <rFont val="Arial Narrow"/>
        <family val="2"/>
        <charset val="204"/>
      </rPr>
      <t>Q=10t  L</t>
    </r>
    <r>
      <rPr>
        <vertAlign val="subscript"/>
        <sz val="10.5"/>
        <rFont val="宋体"/>
        <charset val="134"/>
      </rPr>
      <t>k</t>
    </r>
    <r>
      <rPr>
        <sz val="10.5"/>
        <rFont val="宋体"/>
        <charset val="134"/>
      </rPr>
      <t>=</t>
    </r>
    <r>
      <rPr>
        <sz val="10.5"/>
        <rFont val="Arial Narrow"/>
        <family val="2"/>
        <charset val="204"/>
      </rPr>
      <t>16.5m A6</t>
    </r>
  </si>
  <si>
    <t>Зеленый бой/ Графитированный бой GREEN SCRAP/GRAPHITE SCRAP</t>
  </si>
  <si>
    <t>16960X5704X2711</t>
  </si>
  <si>
    <t>ПОСТОЯННЫЙ
/CON.</t>
  </si>
  <si>
    <t>В РАБ. СОСТОЯНИИ
/DUTY</t>
  </si>
  <si>
    <t>НЕТ
/NO</t>
  </si>
  <si>
    <t>IP54</t>
  </si>
  <si>
    <t>ДА
/YES</t>
  </si>
  <si>
    <t>ПРЯМ.
/FWD</t>
  </si>
  <si>
    <t>В помещении
/INDOORS</t>
  </si>
  <si>
    <t>130-CS-0001</t>
  </si>
  <si>
    <t>Гидравлическая дробилка/ HYDRAULIC CRUSHER</t>
  </si>
  <si>
    <t>Pressure (давление): 800t, Q=12 t/h</t>
  </si>
  <si>
    <t>12890X3200X3170</t>
  </si>
  <si>
    <t>130-GT-0001</t>
  </si>
  <si>
    <t>Ручной затвор
/ MANUAL GATE</t>
  </si>
  <si>
    <t>600×600</t>
  </si>
  <si>
    <t>600X600X120</t>
  </si>
  <si>
    <t>－</t>
  </si>
  <si>
    <t>130-FE-0001</t>
  </si>
  <si>
    <t>Вибрационный питатель
/ VIBRATING FEEDER</t>
  </si>
  <si>
    <t>GZG703 Q=12 t/h</t>
  </si>
  <si>
    <t>1029X700X250</t>
  </si>
  <si>
    <t>2×0.55</t>
  </si>
  <si>
    <t>130-CV-0001</t>
  </si>
  <si>
    <t>Ленточный конвейер
/ BELT CONVEYOR</t>
  </si>
  <si>
    <t>B=1000mm L=17.15m Q=12 t/h</t>
  </si>
  <si>
    <t>17150X1540X2030</t>
  </si>
  <si>
    <t>130-CS-0002</t>
  </si>
  <si>
    <t>Четырехзубчатая валквая дробилка/ FOUR TOOTHED ROLL CRUSHER</t>
  </si>
  <si>
    <t>Φ800×Φ900×500 Q=12 t/h</t>
  </si>
  <si>
    <t>2380X2154X2940</t>
  </si>
  <si>
    <t>2×30</t>
  </si>
  <si>
    <t>130-CV-0002</t>
  </si>
  <si>
    <t>B650 L=24.35m Q=12 t/h</t>
  </si>
  <si>
    <t>24350X1120X2390</t>
  </si>
  <si>
    <t>130-MS-0001</t>
  </si>
  <si>
    <t>Магнитный сепаратор/ MAGNETIC SEPARATOR</t>
  </si>
  <si>
    <t xml:space="preserve">PDC-6 T2 </t>
  </si>
  <si>
    <t>Φ1110X640</t>
  </si>
  <si>
    <t>130-BE-0001</t>
  </si>
  <si>
    <t>Ковшовый элеватор/ BUCKET ELEVATOR</t>
  </si>
  <si>
    <t>TDG315 C=27.15m Q=12 t/h</t>
  </si>
  <si>
    <t>1500X700X27150</t>
  </si>
  <si>
    <t>15+1.1</t>
  </si>
  <si>
    <t>130-GT-0002~0010</t>
  </si>
  <si>
    <t>Электрический затвор
/ELECTRIC GATE</t>
  </si>
  <si>
    <t>300×300</t>
  </si>
  <si>
    <t>1325X420X140</t>
  </si>
  <si>
    <t>130-CV-0003</t>
  </si>
  <si>
    <t>B650 L=15.85m Q=12 t/h</t>
  </si>
  <si>
    <t>15850X1120X2843</t>
  </si>
  <si>
    <t>130-CV-0004</t>
  </si>
  <si>
    <t>B650 L=16.35m Q=12 t/h</t>
  </si>
  <si>
    <t>16350X1120X2843</t>
  </si>
  <si>
    <t>130-SL-0001~2</t>
  </si>
  <si>
    <t>Силос для зеленого боя/ 
GREEN SCRAP SILO</t>
  </si>
  <si>
    <r>
      <rPr>
        <sz val="10"/>
        <color theme="1"/>
        <rFont val="仿宋_GB2312"/>
        <charset val="134"/>
      </rPr>
      <t>Φ</t>
    </r>
    <r>
      <rPr>
        <sz val="10"/>
        <color theme="1"/>
        <rFont val="Arial Narrow"/>
        <family val="2"/>
        <charset val="204"/>
      </rPr>
      <t>6m</t>
    </r>
  </si>
  <si>
    <t>Зеленый бой/ 
GREEN SCRAP</t>
  </si>
  <si>
    <t>Φ6000X12000</t>
  </si>
  <si>
    <t>130-SL-0003~4</t>
  </si>
  <si>
    <t>Силос для графитированного боя/
GRAPHITE SCRAP SILO</t>
  </si>
  <si>
    <t>Графитированный бой/ GRAPHITE SCRAP</t>
  </si>
  <si>
    <t>130-GT-0011~0012</t>
  </si>
  <si>
    <t>130-GT-0013~0014</t>
  </si>
  <si>
    <t>130-CV-0005</t>
  </si>
  <si>
    <t>B650 L=39.85m Q=4.1 t/h</t>
  </si>
  <si>
    <t>39850X1120X2290</t>
  </si>
  <si>
    <t>130-BE-0002</t>
  </si>
  <si>
    <t>TDG315 C=19.75m Q=4.1 t/h</t>
  </si>
  <si>
    <t>1500X700X19750</t>
  </si>
  <si>
    <t>130-CV-0006</t>
  </si>
  <si>
    <t>B650 L=17.61m Q=4.1 t/h</t>
  </si>
  <si>
    <t>17610X1120X1790</t>
  </si>
  <si>
    <t>130-CV-0007</t>
  </si>
  <si>
    <t>B650 L=57.42m Q=4.1 t/h</t>
  </si>
  <si>
    <t>57420X1120X1790</t>
  </si>
  <si>
    <t>130-CV-0008</t>
  </si>
  <si>
    <r>
      <rPr>
        <sz val="10"/>
        <rFont val="Arial Narrow"/>
        <family val="2"/>
        <charset val="204"/>
      </rPr>
      <t xml:space="preserve">Цепной конвейер
</t>
    </r>
    <r>
      <rPr>
        <sz val="10"/>
        <rFont val="宋体"/>
        <charset val="134"/>
      </rPr>
      <t>/</t>
    </r>
    <r>
      <rPr>
        <sz val="10"/>
        <rFont val="Arial Narrow"/>
        <family val="2"/>
        <charset val="204"/>
      </rPr>
      <t>CHAIN CONVEYOR</t>
    </r>
  </si>
  <si>
    <t>Q=12 t/h</t>
  </si>
  <si>
    <t>8000X1120X1520</t>
  </si>
  <si>
    <t>7.5+2.2</t>
  </si>
  <si>
    <t>130-CV-0009</t>
  </si>
  <si>
    <t>B650 L=9.05m Q=12 t/h</t>
  </si>
  <si>
    <t>9050X1120X1790</t>
  </si>
  <si>
    <t>130-HS-0001</t>
  </si>
  <si>
    <t>Цепной блок и вагон монорельса / CHAIN BLOCK AND MONORAIL CAR</t>
  </si>
  <si>
    <t>Q=3t H=4m</t>
  </si>
  <si>
    <t>--</t>
  </si>
  <si>
    <t>295X279X610</t>
  </si>
  <si>
    <t>130-HS-0002</t>
  </si>
  <si>
    <t>Q=2t H=6m</t>
  </si>
  <si>
    <t>254X260X550</t>
  </si>
  <si>
    <t>130-HS-0003</t>
  </si>
  <si>
    <t>130-DC-0001</t>
  </si>
  <si>
    <t>Импульсный пылеуловитель / PULSE DUST COLLECTOR</t>
  </si>
  <si>
    <r>
      <rPr>
        <sz val="10"/>
        <rFont val="Arial Narrow"/>
        <family val="2"/>
        <charset val="204"/>
      </rPr>
      <t>F=1090m</t>
    </r>
    <r>
      <rPr>
        <vertAlign val="superscript"/>
        <sz val="10"/>
        <rFont val="Arial Narrow"/>
        <family val="2"/>
        <charset val="204"/>
      </rPr>
      <t>2</t>
    </r>
  </si>
  <si>
    <r>
      <rPr>
        <sz val="10"/>
        <rFont val="Calibri"/>
        <family val="2"/>
        <charset val="204"/>
      </rPr>
      <t>Пыльный</t>
    </r>
    <r>
      <rPr>
        <sz val="10"/>
        <rFont val="Calibri"/>
        <family val="2"/>
        <charset val="204"/>
      </rPr>
      <t xml:space="preserve"> </t>
    </r>
    <r>
      <rPr>
        <sz val="10"/>
        <rFont val="Calibri"/>
        <family val="2"/>
        <charset val="204"/>
      </rPr>
      <t>воздух</t>
    </r>
    <r>
      <rPr>
        <sz val="10"/>
        <rFont val="Calibri"/>
        <family val="2"/>
        <charset val="204"/>
      </rPr>
      <t>/ DUST AIR</t>
    </r>
  </si>
  <si>
    <t>10000X4500X8000</t>
  </si>
  <si>
    <t>130-FA-0001</t>
  </si>
  <si>
    <t>Вытяжной вентилятор/ INDUCED DRAFT FAN</t>
  </si>
  <si>
    <t>54300m³/h,3767Pa,1450r/min</t>
  </si>
  <si>
    <t>Воздух/ AIR</t>
  </si>
  <si>
    <t>3000X2000X1500</t>
  </si>
  <si>
    <t>130-DC-0002</t>
  </si>
  <si>
    <r>
      <rPr>
        <sz val="10"/>
        <rFont val="Arial Narrow"/>
        <family val="2"/>
        <charset val="204"/>
      </rPr>
      <t>F=744m</t>
    </r>
    <r>
      <rPr>
        <vertAlign val="superscript"/>
        <sz val="10"/>
        <rFont val="Arial Narrow"/>
        <family val="2"/>
        <charset val="204"/>
      </rPr>
      <t>2</t>
    </r>
  </si>
  <si>
    <t>10000X4000X7000</t>
  </si>
  <si>
    <t>130-FA-0002</t>
  </si>
  <si>
    <t>32200m³/h,3666Pa,1450r/min</t>
  </si>
  <si>
    <t>2500X1500X1500</t>
  </si>
  <si>
    <t>130-FE-0002~0005</t>
  </si>
  <si>
    <t>Q=4 t/h</t>
  </si>
  <si>
    <t>ИТОГО</t>
  </si>
  <si>
    <t>кол-во поз.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</si>
</sst>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_ "/>
  </numFmts>
  <fonts count="14">
    <font>
      <sz val="11"/>
      <color theme="1"/>
      <name val="Calibri"/>
      <charset val="134"/>
      <scheme val="minor"/>
    </font>
    <font>
      <sz val="10"/>
      <name val="Arial"/>
      <family val="2"/>
      <charset val="204"/>
    </font>
    <font>
      <sz val="10"/>
      <name val="宋体"/>
      <charset val="134"/>
    </font>
    <font>
      <sz val="10"/>
      <color theme="1"/>
      <name val="Arial Narrow"/>
      <family val="2"/>
      <charset val="204"/>
    </font>
    <font>
      <b/>
      <sz val="10"/>
      <name val="Arial Narrow"/>
      <family val="2"/>
      <charset val="204"/>
    </font>
    <font>
      <sz val="10"/>
      <name val="Arial Narrow"/>
      <family val="2"/>
      <charset val="204"/>
    </font>
    <font>
      <vertAlign val="subscript"/>
      <sz val="10.5"/>
      <name val="宋体"/>
      <charset val="134"/>
    </font>
    <font>
      <sz val="10.5"/>
      <name val="宋体"/>
      <charset val="134"/>
    </font>
    <font>
      <sz val="10.5"/>
      <name val="Arial Narrow"/>
      <family val="2"/>
      <charset val="204"/>
    </font>
    <font>
      <sz val="10"/>
      <color theme="1"/>
      <name val="仿宋_GB2312"/>
      <charset val="134"/>
    </font>
    <font>
      <sz val="10"/>
      <color theme="1"/>
      <name val="宋体"/>
      <charset val="134"/>
    </font>
    <font>
      <vertAlign val="superscript"/>
      <sz val="10"/>
      <name val="Arial Narrow"/>
      <family val="2"/>
      <charset val="204"/>
    </font>
    <font>
      <sz val="10"/>
      <name val="Calibri"/>
      <family val="2"/>
      <charset val="204"/>
    </font>
    <font>
      <b/>
      <sz val="14"/>
      <name val="Arial Narrow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>
      <alignment vertical="center"/>
    </xf>
    <xf numFmtId="0" fontId="1" fillId="0" borderId="0"/>
  </cellStyleXfs>
  <cellXfs count="39">
    <xf numFmtId="0" fontId="0" fillId="0" borderId="0" xfId="0">
      <alignment vertical="center"/>
    </xf>
    <xf numFmtId="0" fontId="3" fillId="0" borderId="0" xfId="0" applyFont="1">
      <alignment vertical="center"/>
    </xf>
    <xf numFmtId="0" fontId="4" fillId="2" borderId="3" xfId="0" applyFont="1" applyFill="1" applyBorder="1" applyAlignment="1">
      <alignment horizontal="center" vertical="center" wrapText="1"/>
    </xf>
    <xf numFmtId="164" fontId="4" fillId="2" borderId="3" xfId="0" applyNumberFormat="1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vertical="center" wrapText="1"/>
    </xf>
    <xf numFmtId="0" fontId="5" fillId="2" borderId="3" xfId="0" applyFont="1" applyFill="1" applyBorder="1" applyAlignment="1" applyProtection="1">
      <alignment horizontal="center" vertical="center"/>
      <protection locked="0"/>
    </xf>
    <xf numFmtId="0" fontId="5" fillId="2" borderId="3" xfId="0" applyFont="1" applyFill="1" applyBorder="1" applyAlignment="1" applyProtection="1">
      <alignment vertical="center" wrapText="1"/>
      <protection locked="0"/>
    </xf>
    <xf numFmtId="0" fontId="5" fillId="2" borderId="3" xfId="0" applyFont="1" applyFill="1" applyBorder="1" applyAlignment="1" applyProtection="1">
      <alignment horizontal="center" vertical="center" wrapText="1"/>
      <protection locked="0"/>
    </xf>
    <xf numFmtId="0" fontId="3" fillId="0" borderId="0" xfId="0" applyFont="1" applyProtection="1">
      <alignment vertical="center"/>
      <protection locked="0"/>
    </xf>
    <xf numFmtId="0" fontId="3" fillId="2" borderId="3" xfId="0" applyFont="1" applyFill="1" applyBorder="1" applyAlignment="1" applyProtection="1">
      <alignment horizontal="center" vertical="center"/>
      <protection locked="0"/>
    </xf>
    <xf numFmtId="0" fontId="3" fillId="2" borderId="3" xfId="0" applyFont="1" applyFill="1" applyBorder="1" applyAlignment="1" applyProtection="1">
      <alignment vertical="center" wrapText="1"/>
      <protection locked="0"/>
    </xf>
    <xf numFmtId="0" fontId="9" fillId="2" borderId="3" xfId="0" applyFont="1" applyFill="1" applyBorder="1" applyAlignment="1" applyProtection="1">
      <alignment horizontal="center" vertical="center" wrapText="1"/>
      <protection locked="0"/>
    </xf>
    <xf numFmtId="0" fontId="3" fillId="2" borderId="3" xfId="0" applyFont="1" applyFill="1" applyBorder="1" applyAlignment="1" applyProtection="1">
      <alignment horizontal="center" vertical="center" wrapText="1"/>
      <protection locked="0"/>
    </xf>
    <xf numFmtId="0" fontId="10" fillId="2" borderId="3" xfId="0" applyFont="1" applyFill="1" applyBorder="1" applyAlignment="1" applyProtection="1">
      <alignment horizontal="center" vertical="center"/>
      <protection locked="0"/>
    </xf>
    <xf numFmtId="0" fontId="10" fillId="2" borderId="3" xfId="0" applyFont="1" applyFill="1" applyBorder="1" applyAlignment="1" applyProtection="1">
      <alignment horizontal="center" vertical="center" wrapText="1"/>
      <protection locked="0"/>
    </xf>
    <xf numFmtId="0" fontId="5" fillId="2" borderId="3" xfId="0" applyFont="1" applyFill="1" applyBorder="1" applyAlignment="1" applyProtection="1">
      <alignment horizontal="left" vertical="center" wrapText="1"/>
      <protection locked="0"/>
    </xf>
    <xf numFmtId="0" fontId="5" fillId="2" borderId="3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left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12" fillId="2" borderId="3" xfId="0" applyFont="1" applyFill="1" applyBorder="1" applyAlignment="1">
      <alignment horizontal="center" vertical="center" wrapText="1"/>
    </xf>
    <xf numFmtId="0" fontId="3" fillId="3" borderId="0" xfId="0" applyFont="1" applyFill="1">
      <alignment vertical="center"/>
    </xf>
    <xf numFmtId="0" fontId="4" fillId="3" borderId="0" xfId="0" applyFont="1" applyFill="1" applyAlignment="1">
      <alignment vertical="center" wrapText="1"/>
    </xf>
    <xf numFmtId="0" fontId="5" fillId="3" borderId="0" xfId="0" applyFont="1" applyFill="1">
      <alignment vertical="center"/>
    </xf>
    <xf numFmtId="0" fontId="13" fillId="3" borderId="0" xfId="0" applyFont="1" applyFill="1">
      <alignment vertical="center"/>
    </xf>
    <xf numFmtId="0" fontId="5" fillId="3" borderId="0" xfId="0" applyFont="1" applyFill="1" applyAlignment="1">
      <alignment vertical="center" wrapText="1"/>
    </xf>
    <xf numFmtId="0" fontId="5" fillId="0" borderId="3" xfId="0" applyFont="1" applyFill="1" applyBorder="1" applyAlignment="1" applyProtection="1">
      <alignment horizontal="center" vertical="center"/>
      <protection locked="0"/>
    </xf>
    <xf numFmtId="0" fontId="5" fillId="0" borderId="3" xfId="0" applyFont="1" applyFill="1" applyBorder="1" applyAlignment="1" applyProtection="1">
      <alignment vertical="center" wrapText="1"/>
      <protection locked="0"/>
    </xf>
    <xf numFmtId="0" fontId="5" fillId="0" borderId="3" xfId="0" applyFont="1" applyFill="1" applyBorder="1" applyAlignment="1" applyProtection="1">
      <alignment horizontal="center" vertical="center" wrapText="1"/>
      <protection locked="0"/>
    </xf>
    <xf numFmtId="0" fontId="3" fillId="0" borderId="0" xfId="0" applyFont="1" applyFill="1" applyProtection="1">
      <alignment vertical="center"/>
      <protection locked="0"/>
    </xf>
    <xf numFmtId="0" fontId="2" fillId="0" borderId="3" xfId="0" applyFont="1" applyFill="1" applyBorder="1" applyAlignment="1" applyProtection="1">
      <alignment horizontal="center" vertical="center"/>
      <protection locked="0"/>
    </xf>
    <xf numFmtId="0" fontId="2" fillId="0" borderId="3" xfId="0" applyFont="1" applyFill="1" applyBorder="1" applyAlignment="1" applyProtection="1">
      <alignment horizontal="center" vertical="center" wrapText="1"/>
      <protection locked="0"/>
    </xf>
    <xf numFmtId="0" fontId="4" fillId="2" borderId="3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vertical="center" wrapText="1"/>
    </xf>
    <xf numFmtId="0" fontId="5" fillId="2" borderId="3" xfId="0" applyFont="1" applyFill="1" applyBorder="1">
      <alignment vertical="center"/>
    </xf>
  </cellXfs>
  <cellStyles count="2">
    <cellStyle name="Standard 2" xfId="1" xr:uid="{432BAF71-4533-4D4B-9962-159316B22D9F}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B77FCE-F70E-44CE-AE3D-9C73C490467A}">
  <sheetPr>
    <tabColor rgb="FF00B0F0"/>
  </sheetPr>
  <dimension ref="A1:X36"/>
  <sheetViews>
    <sheetView tabSelected="1" zoomScale="70" zoomScaleNormal="70" workbookViewId="0">
      <selection activeCell="Z5" sqref="Z5"/>
    </sheetView>
  </sheetViews>
  <sheetFormatPr defaultColWidth="9" defaultRowHeight="20.100000000000001" customHeight="1"/>
  <cols>
    <col min="1" max="1" width="5.5703125" style="1" customWidth="1"/>
    <col min="2" max="2" width="15.5703125" style="1" customWidth="1"/>
    <col min="3" max="3" width="20.5703125" style="1" customWidth="1"/>
    <col min="4" max="4" width="25.5703125" style="1" customWidth="1"/>
    <col min="5" max="5" width="5.5703125" style="1" customWidth="1"/>
    <col min="6" max="6" width="8.5703125" style="1" customWidth="1"/>
    <col min="7" max="7" width="20.5703125" style="1" customWidth="1"/>
    <col min="8" max="8" width="12.5703125" style="1" customWidth="1"/>
    <col min="9" max="9" width="18.42578125" style="1" customWidth="1"/>
    <col min="10" max="10" width="16.42578125" style="1" customWidth="1"/>
    <col min="11" max="11" width="10.5703125" style="1" customWidth="1"/>
    <col min="12" max="12" width="14.28515625" style="1" customWidth="1"/>
    <col min="13" max="13" width="10.5703125" style="1" customWidth="1"/>
    <col min="14" max="14" width="14.28515625" style="1" customWidth="1"/>
    <col min="15" max="15" width="11.5703125" style="1" customWidth="1"/>
    <col min="16" max="16" width="11.85546875" style="1" customWidth="1"/>
    <col min="17" max="17" width="13.42578125" style="1" customWidth="1"/>
    <col min="18" max="18" width="16.7109375" style="1" customWidth="1"/>
    <col min="19" max="19" width="10.5703125" style="1" customWidth="1"/>
    <col min="20" max="20" width="11.7109375" style="1" customWidth="1"/>
    <col min="21" max="21" width="10.5703125" style="1" customWidth="1"/>
    <col min="22" max="22" width="16.140625" style="1" customWidth="1"/>
    <col min="23" max="23" width="9" style="1"/>
    <col min="24" max="24" width="13.42578125" style="1" customWidth="1"/>
    <col min="25" max="16384" width="9" style="1"/>
  </cols>
  <sheetData>
    <row r="1" spans="1:24" ht="32.25" customHeight="1" thickBot="1">
      <c r="A1" s="31" t="s">
        <v>0</v>
      </c>
      <c r="B1" s="31" t="s">
        <v>1</v>
      </c>
      <c r="C1" s="37" t="s">
        <v>2</v>
      </c>
      <c r="D1" s="31" t="s">
        <v>3</v>
      </c>
      <c r="E1" s="31" t="s">
        <v>4</v>
      </c>
      <c r="F1" s="31" t="s">
        <v>5</v>
      </c>
      <c r="G1" s="31" t="s">
        <v>6</v>
      </c>
      <c r="H1" s="31" t="s">
        <v>7</v>
      </c>
      <c r="I1" s="31" t="s">
        <v>8</v>
      </c>
      <c r="J1" s="31" t="s">
        <v>9</v>
      </c>
      <c r="K1" s="32" t="s">
        <v>10</v>
      </c>
      <c r="L1" s="32"/>
      <c r="M1" s="32"/>
      <c r="N1" s="32"/>
      <c r="O1" s="32"/>
      <c r="P1" s="32" t="s">
        <v>11</v>
      </c>
      <c r="Q1" s="32"/>
      <c r="R1" s="32"/>
      <c r="S1" s="32"/>
      <c r="T1" s="33" t="s">
        <v>12</v>
      </c>
      <c r="U1" s="34"/>
      <c r="V1" s="35" t="s">
        <v>13</v>
      </c>
    </row>
    <row r="2" spans="1:24" ht="89.25">
      <c r="A2" s="31"/>
      <c r="B2" s="31"/>
      <c r="C2" s="38"/>
      <c r="D2" s="31"/>
      <c r="E2" s="31"/>
      <c r="F2" s="31"/>
      <c r="G2" s="31"/>
      <c r="H2" s="31"/>
      <c r="I2" s="31"/>
      <c r="J2" s="31"/>
      <c r="K2" s="2" t="s">
        <v>14</v>
      </c>
      <c r="L2" s="3" t="s">
        <v>15</v>
      </c>
      <c r="M2" s="2" t="s">
        <v>16</v>
      </c>
      <c r="N2" s="2" t="s">
        <v>17</v>
      </c>
      <c r="O2" s="2" t="s">
        <v>18</v>
      </c>
      <c r="P2" s="2" t="s">
        <v>19</v>
      </c>
      <c r="Q2" s="3" t="s">
        <v>20</v>
      </c>
      <c r="R2" s="2" t="s">
        <v>21</v>
      </c>
      <c r="S2" s="2" t="s">
        <v>22</v>
      </c>
      <c r="T2" s="2" t="s">
        <v>23</v>
      </c>
      <c r="U2" s="2" t="s">
        <v>24</v>
      </c>
      <c r="V2" s="36"/>
      <c r="X2" s="4" t="s">
        <v>25</v>
      </c>
    </row>
    <row r="3" spans="1:24" s="8" customFormat="1" ht="63.75">
      <c r="A3" s="25">
        <v>1</v>
      </c>
      <c r="B3" s="25" t="s">
        <v>26</v>
      </c>
      <c r="C3" s="26" t="s">
        <v>27</v>
      </c>
      <c r="D3" s="27" t="s">
        <v>28</v>
      </c>
      <c r="E3" s="25">
        <v>1</v>
      </c>
      <c r="F3" s="25">
        <v>14994</v>
      </c>
      <c r="G3" s="27" t="s">
        <v>29</v>
      </c>
      <c r="H3" s="25" t="s">
        <v>30</v>
      </c>
      <c r="I3" s="27" t="s">
        <v>31</v>
      </c>
      <c r="J3" s="27" t="s">
        <v>32</v>
      </c>
      <c r="K3" s="25">
        <v>30.9</v>
      </c>
      <c r="L3" s="27" t="s">
        <v>33</v>
      </c>
      <c r="M3" s="25">
        <v>400</v>
      </c>
      <c r="N3" s="27" t="s">
        <v>33</v>
      </c>
      <c r="O3" s="25" t="s">
        <v>34</v>
      </c>
      <c r="P3" s="27" t="s">
        <v>35</v>
      </c>
      <c r="Q3" s="27" t="s">
        <v>33</v>
      </c>
      <c r="R3" s="27" t="s">
        <v>36</v>
      </c>
      <c r="S3" s="27" t="s">
        <v>33</v>
      </c>
      <c r="T3" s="27" t="s">
        <v>37</v>
      </c>
      <c r="U3" s="27" t="s">
        <v>33</v>
      </c>
      <c r="V3" s="27"/>
      <c r="W3" s="28"/>
      <c r="X3" s="8">
        <f>E3*F3</f>
        <v>14994</v>
      </c>
    </row>
    <row r="4" spans="1:24" s="8" customFormat="1" ht="63.75">
      <c r="A4" s="25">
        <v>2</v>
      </c>
      <c r="B4" s="25" t="s">
        <v>38</v>
      </c>
      <c r="C4" s="26" t="s">
        <v>39</v>
      </c>
      <c r="D4" s="27" t="s">
        <v>40</v>
      </c>
      <c r="E4" s="25">
        <v>1</v>
      </c>
      <c r="F4" s="25">
        <v>81853</v>
      </c>
      <c r="G4" s="27" t="s">
        <v>29</v>
      </c>
      <c r="H4" s="25" t="s">
        <v>41</v>
      </c>
      <c r="I4" s="27" t="s">
        <v>31</v>
      </c>
      <c r="J4" s="27" t="s">
        <v>32</v>
      </c>
      <c r="K4" s="25">
        <v>58</v>
      </c>
      <c r="L4" s="27" t="s">
        <v>33</v>
      </c>
      <c r="M4" s="25">
        <v>400</v>
      </c>
      <c r="N4" s="27" t="s">
        <v>33</v>
      </c>
      <c r="O4" s="25" t="s">
        <v>34</v>
      </c>
      <c r="P4" s="27" t="s">
        <v>35</v>
      </c>
      <c r="Q4" s="27" t="s">
        <v>35</v>
      </c>
      <c r="R4" s="27" t="s">
        <v>36</v>
      </c>
      <c r="S4" s="27" t="s">
        <v>33</v>
      </c>
      <c r="T4" s="27" t="s">
        <v>37</v>
      </c>
      <c r="U4" s="27" t="s">
        <v>33</v>
      </c>
      <c r="V4" s="27"/>
      <c r="W4" s="28"/>
      <c r="X4" s="8">
        <f t="shared" ref="X4:X32" si="0">E4*F4</f>
        <v>81853</v>
      </c>
    </row>
    <row r="5" spans="1:24" s="8" customFormat="1" ht="63.75">
      <c r="A5" s="25">
        <v>3</v>
      </c>
      <c r="B5" s="25" t="s">
        <v>42</v>
      </c>
      <c r="C5" s="26" t="s">
        <v>43</v>
      </c>
      <c r="D5" s="27" t="s">
        <v>44</v>
      </c>
      <c r="E5" s="25">
        <v>1</v>
      </c>
      <c r="F5" s="25">
        <v>360</v>
      </c>
      <c r="G5" s="27" t="s">
        <v>29</v>
      </c>
      <c r="H5" s="25" t="s">
        <v>45</v>
      </c>
      <c r="I5" s="27" t="s">
        <v>31</v>
      </c>
      <c r="J5" s="27" t="s">
        <v>32</v>
      </c>
      <c r="K5" s="29" t="s">
        <v>46</v>
      </c>
      <c r="L5" s="30" t="s">
        <v>46</v>
      </c>
      <c r="M5" s="29" t="s">
        <v>46</v>
      </c>
      <c r="N5" s="30" t="s">
        <v>46</v>
      </c>
      <c r="O5" s="29" t="s">
        <v>46</v>
      </c>
      <c r="P5" s="30" t="s">
        <v>46</v>
      </c>
      <c r="Q5" s="30" t="s">
        <v>46</v>
      </c>
      <c r="R5" s="30" t="s">
        <v>46</v>
      </c>
      <c r="S5" s="30" t="s">
        <v>46</v>
      </c>
      <c r="T5" s="27" t="s">
        <v>37</v>
      </c>
      <c r="U5" s="27" t="s">
        <v>33</v>
      </c>
      <c r="V5" s="27"/>
      <c r="W5" s="28"/>
      <c r="X5" s="8">
        <f t="shared" si="0"/>
        <v>360</v>
      </c>
    </row>
    <row r="6" spans="1:24" s="8" customFormat="1" ht="63.75">
      <c r="A6" s="25">
        <v>4</v>
      </c>
      <c r="B6" s="25" t="s">
        <v>47</v>
      </c>
      <c r="C6" s="26" t="s">
        <v>48</v>
      </c>
      <c r="D6" s="27" t="s">
        <v>49</v>
      </c>
      <c r="E6" s="25">
        <v>1</v>
      </c>
      <c r="F6" s="25">
        <v>389</v>
      </c>
      <c r="G6" s="27" t="s">
        <v>29</v>
      </c>
      <c r="H6" s="25" t="s">
        <v>50</v>
      </c>
      <c r="I6" s="27" t="s">
        <v>31</v>
      </c>
      <c r="J6" s="27" t="s">
        <v>32</v>
      </c>
      <c r="K6" s="25" t="s">
        <v>51</v>
      </c>
      <c r="L6" s="27" t="s">
        <v>35</v>
      </c>
      <c r="M6" s="25">
        <v>400</v>
      </c>
      <c r="N6" s="27" t="s">
        <v>33</v>
      </c>
      <c r="O6" s="25" t="s">
        <v>34</v>
      </c>
      <c r="P6" s="27" t="s">
        <v>35</v>
      </c>
      <c r="Q6" s="27" t="s">
        <v>35</v>
      </c>
      <c r="R6" s="27" t="s">
        <v>36</v>
      </c>
      <c r="S6" s="27" t="s">
        <v>33</v>
      </c>
      <c r="T6" s="27" t="s">
        <v>37</v>
      </c>
      <c r="U6" s="27" t="s">
        <v>33</v>
      </c>
      <c r="V6" s="27"/>
      <c r="W6" s="28"/>
      <c r="X6" s="8">
        <f t="shared" si="0"/>
        <v>389</v>
      </c>
    </row>
    <row r="7" spans="1:24" s="8" customFormat="1" ht="63.75">
      <c r="A7" s="25">
        <v>5</v>
      </c>
      <c r="B7" s="25" t="s">
        <v>52</v>
      </c>
      <c r="C7" s="26" t="s">
        <v>53</v>
      </c>
      <c r="D7" s="27" t="s">
        <v>54</v>
      </c>
      <c r="E7" s="25">
        <v>1</v>
      </c>
      <c r="F7" s="25">
        <v>3300</v>
      </c>
      <c r="G7" s="27" t="s">
        <v>29</v>
      </c>
      <c r="H7" s="25" t="s">
        <v>55</v>
      </c>
      <c r="I7" s="27" t="s">
        <v>31</v>
      </c>
      <c r="J7" s="27" t="s">
        <v>32</v>
      </c>
      <c r="K7" s="25">
        <v>5.5</v>
      </c>
      <c r="L7" s="27" t="s">
        <v>33</v>
      </c>
      <c r="M7" s="25">
        <v>400</v>
      </c>
      <c r="N7" s="27" t="s">
        <v>33</v>
      </c>
      <c r="O7" s="25" t="s">
        <v>34</v>
      </c>
      <c r="P7" s="27" t="s">
        <v>35</v>
      </c>
      <c r="Q7" s="27" t="s">
        <v>35</v>
      </c>
      <c r="R7" s="27" t="s">
        <v>36</v>
      </c>
      <c r="S7" s="27" t="s">
        <v>33</v>
      </c>
      <c r="T7" s="27" t="s">
        <v>37</v>
      </c>
      <c r="U7" s="27" t="s">
        <v>33</v>
      </c>
      <c r="V7" s="27"/>
      <c r="W7" s="28"/>
      <c r="X7" s="8">
        <f t="shared" si="0"/>
        <v>3300</v>
      </c>
    </row>
    <row r="8" spans="1:24" s="8" customFormat="1" ht="63.75">
      <c r="A8" s="25">
        <v>6</v>
      </c>
      <c r="B8" s="25" t="s">
        <v>56</v>
      </c>
      <c r="C8" s="26" t="s">
        <v>57</v>
      </c>
      <c r="D8" s="27" t="s">
        <v>58</v>
      </c>
      <c r="E8" s="25">
        <v>1</v>
      </c>
      <c r="F8" s="25">
        <v>11970</v>
      </c>
      <c r="G8" s="27" t="s">
        <v>29</v>
      </c>
      <c r="H8" s="25" t="s">
        <v>59</v>
      </c>
      <c r="I8" s="27" t="s">
        <v>31</v>
      </c>
      <c r="J8" s="27" t="s">
        <v>32</v>
      </c>
      <c r="K8" s="25" t="s">
        <v>60</v>
      </c>
      <c r="L8" s="27" t="s">
        <v>33</v>
      </c>
      <c r="M8" s="25">
        <v>400</v>
      </c>
      <c r="N8" s="27" t="s">
        <v>33</v>
      </c>
      <c r="O8" s="25" t="s">
        <v>34</v>
      </c>
      <c r="P8" s="27" t="s">
        <v>35</v>
      </c>
      <c r="Q8" s="27" t="s">
        <v>35</v>
      </c>
      <c r="R8" s="27" t="s">
        <v>36</v>
      </c>
      <c r="S8" s="27" t="s">
        <v>33</v>
      </c>
      <c r="T8" s="27" t="s">
        <v>37</v>
      </c>
      <c r="U8" s="27" t="s">
        <v>33</v>
      </c>
      <c r="V8" s="27"/>
      <c r="W8" s="28"/>
      <c r="X8" s="8">
        <f t="shared" si="0"/>
        <v>11970</v>
      </c>
    </row>
    <row r="9" spans="1:24" s="8" customFormat="1" ht="63.75">
      <c r="A9" s="25">
        <v>7</v>
      </c>
      <c r="B9" s="25" t="s">
        <v>61</v>
      </c>
      <c r="C9" s="26" t="s">
        <v>53</v>
      </c>
      <c r="D9" s="27" t="s">
        <v>62</v>
      </c>
      <c r="E9" s="25">
        <v>1</v>
      </c>
      <c r="F9" s="25">
        <v>4100</v>
      </c>
      <c r="G9" s="27" t="s">
        <v>29</v>
      </c>
      <c r="H9" s="25" t="s">
        <v>63</v>
      </c>
      <c r="I9" s="27" t="s">
        <v>31</v>
      </c>
      <c r="J9" s="27" t="s">
        <v>32</v>
      </c>
      <c r="K9" s="25">
        <v>4</v>
      </c>
      <c r="L9" s="27" t="s">
        <v>33</v>
      </c>
      <c r="M9" s="25">
        <v>400</v>
      </c>
      <c r="N9" s="27" t="s">
        <v>33</v>
      </c>
      <c r="O9" s="25" t="s">
        <v>34</v>
      </c>
      <c r="P9" s="27" t="s">
        <v>35</v>
      </c>
      <c r="Q9" s="27" t="s">
        <v>35</v>
      </c>
      <c r="R9" s="27" t="s">
        <v>36</v>
      </c>
      <c r="S9" s="27" t="s">
        <v>33</v>
      </c>
      <c r="T9" s="27" t="s">
        <v>37</v>
      </c>
      <c r="U9" s="27" t="s">
        <v>33</v>
      </c>
      <c r="V9" s="27"/>
      <c r="W9" s="28"/>
      <c r="X9" s="8">
        <f t="shared" si="0"/>
        <v>4100</v>
      </c>
    </row>
    <row r="10" spans="1:24" s="8" customFormat="1" ht="63.75">
      <c r="A10" s="25">
        <v>8</v>
      </c>
      <c r="B10" s="25" t="s">
        <v>64</v>
      </c>
      <c r="C10" s="26" t="s">
        <v>65</v>
      </c>
      <c r="D10" s="27" t="s">
        <v>66</v>
      </c>
      <c r="E10" s="25">
        <v>1</v>
      </c>
      <c r="F10" s="25">
        <v>1050</v>
      </c>
      <c r="G10" s="27" t="s">
        <v>29</v>
      </c>
      <c r="H10" s="25" t="s">
        <v>67</v>
      </c>
      <c r="I10" s="27" t="s">
        <v>31</v>
      </c>
      <c r="J10" s="27" t="s">
        <v>32</v>
      </c>
      <c r="K10" s="25">
        <v>7.5</v>
      </c>
      <c r="L10" s="27" t="s">
        <v>33</v>
      </c>
      <c r="M10" s="25">
        <v>400</v>
      </c>
      <c r="N10" s="27" t="s">
        <v>33</v>
      </c>
      <c r="O10" s="25" t="s">
        <v>34</v>
      </c>
      <c r="P10" s="27" t="s">
        <v>35</v>
      </c>
      <c r="Q10" s="27" t="s">
        <v>35</v>
      </c>
      <c r="R10" s="27" t="s">
        <v>36</v>
      </c>
      <c r="S10" s="27" t="s">
        <v>33</v>
      </c>
      <c r="T10" s="27" t="s">
        <v>37</v>
      </c>
      <c r="U10" s="27" t="s">
        <v>33</v>
      </c>
      <c r="V10" s="27"/>
      <c r="W10" s="28"/>
      <c r="X10" s="8">
        <f t="shared" si="0"/>
        <v>1050</v>
      </c>
    </row>
    <row r="11" spans="1:24" s="8" customFormat="1" ht="63.75">
      <c r="A11" s="25">
        <v>9</v>
      </c>
      <c r="B11" s="25" t="s">
        <v>68</v>
      </c>
      <c r="C11" s="26" t="s">
        <v>69</v>
      </c>
      <c r="D11" s="27" t="s">
        <v>70</v>
      </c>
      <c r="E11" s="25">
        <v>1</v>
      </c>
      <c r="F11" s="25">
        <v>12632</v>
      </c>
      <c r="G11" s="27" t="s">
        <v>29</v>
      </c>
      <c r="H11" s="25" t="s">
        <v>71</v>
      </c>
      <c r="I11" s="27" t="s">
        <v>31</v>
      </c>
      <c r="J11" s="27" t="s">
        <v>32</v>
      </c>
      <c r="K11" s="25" t="s">
        <v>72</v>
      </c>
      <c r="L11" s="27" t="s">
        <v>33</v>
      </c>
      <c r="M11" s="25">
        <v>400</v>
      </c>
      <c r="N11" s="27" t="s">
        <v>33</v>
      </c>
      <c r="O11" s="25" t="s">
        <v>34</v>
      </c>
      <c r="P11" s="27" t="s">
        <v>35</v>
      </c>
      <c r="Q11" s="27" t="s">
        <v>35</v>
      </c>
      <c r="R11" s="27" t="s">
        <v>36</v>
      </c>
      <c r="S11" s="27" t="s">
        <v>33</v>
      </c>
      <c r="T11" s="27" t="s">
        <v>37</v>
      </c>
      <c r="U11" s="27" t="s">
        <v>33</v>
      </c>
      <c r="V11" s="27"/>
      <c r="W11" s="28"/>
      <c r="X11" s="8">
        <f t="shared" si="0"/>
        <v>12632</v>
      </c>
    </row>
    <row r="12" spans="1:24" s="8" customFormat="1" ht="63.75">
      <c r="A12" s="25">
        <v>10</v>
      </c>
      <c r="B12" s="25" t="s">
        <v>73</v>
      </c>
      <c r="C12" s="26" t="s">
        <v>74</v>
      </c>
      <c r="D12" s="27" t="s">
        <v>75</v>
      </c>
      <c r="E12" s="25">
        <v>9</v>
      </c>
      <c r="F12" s="25">
        <v>150</v>
      </c>
      <c r="G12" s="27" t="s">
        <v>29</v>
      </c>
      <c r="H12" s="25" t="s">
        <v>76</v>
      </c>
      <c r="I12" s="27" t="s">
        <v>31</v>
      </c>
      <c r="J12" s="27" t="s">
        <v>32</v>
      </c>
      <c r="K12" s="25">
        <v>0.06</v>
      </c>
      <c r="L12" s="27" t="s">
        <v>33</v>
      </c>
      <c r="M12" s="25">
        <v>400</v>
      </c>
      <c r="N12" s="27" t="s">
        <v>33</v>
      </c>
      <c r="O12" s="25" t="s">
        <v>34</v>
      </c>
      <c r="P12" s="27" t="s">
        <v>35</v>
      </c>
      <c r="Q12" s="27" t="s">
        <v>35</v>
      </c>
      <c r="R12" s="27" t="s">
        <v>36</v>
      </c>
      <c r="S12" s="27" t="s">
        <v>33</v>
      </c>
      <c r="T12" s="27" t="s">
        <v>37</v>
      </c>
      <c r="U12" s="27" t="s">
        <v>33</v>
      </c>
      <c r="V12" s="27"/>
      <c r="W12" s="28"/>
      <c r="X12" s="8">
        <f t="shared" si="0"/>
        <v>1350</v>
      </c>
    </row>
    <row r="13" spans="1:24" s="8" customFormat="1" ht="63.75">
      <c r="A13" s="25">
        <v>11</v>
      </c>
      <c r="B13" s="25" t="s">
        <v>77</v>
      </c>
      <c r="C13" s="26" t="s">
        <v>53</v>
      </c>
      <c r="D13" s="27" t="s">
        <v>78</v>
      </c>
      <c r="E13" s="25">
        <v>1</v>
      </c>
      <c r="F13" s="25">
        <v>3200</v>
      </c>
      <c r="G13" s="27" t="s">
        <v>29</v>
      </c>
      <c r="H13" s="25" t="s">
        <v>79</v>
      </c>
      <c r="I13" s="27" t="s">
        <v>31</v>
      </c>
      <c r="J13" s="27" t="s">
        <v>32</v>
      </c>
      <c r="K13" s="25">
        <v>4</v>
      </c>
      <c r="L13" s="27" t="s">
        <v>33</v>
      </c>
      <c r="M13" s="25">
        <v>400</v>
      </c>
      <c r="N13" s="27" t="s">
        <v>33</v>
      </c>
      <c r="O13" s="25" t="s">
        <v>34</v>
      </c>
      <c r="P13" s="27" t="s">
        <v>35</v>
      </c>
      <c r="Q13" s="27" t="s">
        <v>35</v>
      </c>
      <c r="R13" s="27" t="s">
        <v>36</v>
      </c>
      <c r="S13" s="27" t="s">
        <v>33</v>
      </c>
      <c r="T13" s="27" t="s">
        <v>37</v>
      </c>
      <c r="U13" s="27" t="s">
        <v>33</v>
      </c>
      <c r="V13" s="27"/>
      <c r="W13" s="28"/>
      <c r="X13" s="8">
        <f t="shared" si="0"/>
        <v>3200</v>
      </c>
    </row>
    <row r="14" spans="1:24" s="8" customFormat="1" ht="63.75">
      <c r="A14" s="5">
        <v>12</v>
      </c>
      <c r="B14" s="5" t="s">
        <v>80</v>
      </c>
      <c r="C14" s="6" t="s">
        <v>53</v>
      </c>
      <c r="D14" s="7" t="s">
        <v>81</v>
      </c>
      <c r="E14" s="5">
        <v>1</v>
      </c>
      <c r="F14" s="5">
        <v>3200</v>
      </c>
      <c r="G14" s="7" t="s">
        <v>29</v>
      </c>
      <c r="H14" s="5" t="s">
        <v>82</v>
      </c>
      <c r="I14" s="7" t="s">
        <v>31</v>
      </c>
      <c r="J14" s="7" t="s">
        <v>32</v>
      </c>
      <c r="K14" s="5">
        <v>4</v>
      </c>
      <c r="L14" s="7" t="s">
        <v>33</v>
      </c>
      <c r="M14" s="5">
        <v>400</v>
      </c>
      <c r="N14" s="7" t="s">
        <v>33</v>
      </c>
      <c r="O14" s="5" t="s">
        <v>34</v>
      </c>
      <c r="P14" s="7" t="s">
        <v>35</v>
      </c>
      <c r="Q14" s="7" t="s">
        <v>35</v>
      </c>
      <c r="R14" s="7" t="s">
        <v>36</v>
      </c>
      <c r="S14" s="7" t="s">
        <v>33</v>
      </c>
      <c r="T14" s="7" t="s">
        <v>37</v>
      </c>
      <c r="U14" s="7" t="s">
        <v>33</v>
      </c>
      <c r="V14" s="7"/>
      <c r="X14" s="8">
        <f t="shared" si="0"/>
        <v>3200</v>
      </c>
    </row>
    <row r="15" spans="1:24" s="8" customFormat="1" ht="38.25">
      <c r="A15" s="9">
        <v>13</v>
      </c>
      <c r="B15" s="9" t="s">
        <v>83</v>
      </c>
      <c r="C15" s="10" t="s">
        <v>84</v>
      </c>
      <c r="D15" s="11" t="s">
        <v>85</v>
      </c>
      <c r="E15" s="9">
        <v>2</v>
      </c>
      <c r="F15" s="9">
        <v>15000</v>
      </c>
      <c r="G15" s="12" t="s">
        <v>86</v>
      </c>
      <c r="H15" s="9" t="s">
        <v>87</v>
      </c>
      <c r="I15" s="12" t="s">
        <v>31</v>
      </c>
      <c r="J15" s="12" t="s">
        <v>32</v>
      </c>
      <c r="K15" s="13" t="s">
        <v>46</v>
      </c>
      <c r="L15" s="13" t="s">
        <v>46</v>
      </c>
      <c r="M15" s="13" t="s">
        <v>46</v>
      </c>
      <c r="N15" s="13" t="s">
        <v>46</v>
      </c>
      <c r="O15" s="13" t="s">
        <v>46</v>
      </c>
      <c r="P15" s="13" t="s">
        <v>46</v>
      </c>
      <c r="Q15" s="13" t="s">
        <v>46</v>
      </c>
      <c r="R15" s="13" t="s">
        <v>46</v>
      </c>
      <c r="S15" s="13" t="s">
        <v>46</v>
      </c>
      <c r="T15" s="12" t="s">
        <v>37</v>
      </c>
      <c r="U15" s="12" t="s">
        <v>33</v>
      </c>
      <c r="V15" s="12"/>
      <c r="X15" s="8">
        <f t="shared" si="0"/>
        <v>30000</v>
      </c>
    </row>
    <row r="16" spans="1:24" s="8" customFormat="1" ht="38.25">
      <c r="A16" s="9">
        <v>14</v>
      </c>
      <c r="B16" s="9" t="s">
        <v>88</v>
      </c>
      <c r="C16" s="10" t="s">
        <v>89</v>
      </c>
      <c r="D16" s="11" t="s">
        <v>85</v>
      </c>
      <c r="E16" s="9">
        <v>2</v>
      </c>
      <c r="F16" s="9">
        <v>15000</v>
      </c>
      <c r="G16" s="12" t="s">
        <v>90</v>
      </c>
      <c r="H16" s="9" t="s">
        <v>87</v>
      </c>
      <c r="I16" s="12" t="s">
        <v>31</v>
      </c>
      <c r="J16" s="12" t="s">
        <v>32</v>
      </c>
      <c r="K16" s="13" t="s">
        <v>46</v>
      </c>
      <c r="L16" s="13" t="s">
        <v>46</v>
      </c>
      <c r="M16" s="13" t="s">
        <v>46</v>
      </c>
      <c r="N16" s="13" t="s">
        <v>46</v>
      </c>
      <c r="O16" s="13" t="s">
        <v>46</v>
      </c>
      <c r="P16" s="13" t="s">
        <v>46</v>
      </c>
      <c r="Q16" s="13" t="s">
        <v>46</v>
      </c>
      <c r="R16" s="13" t="s">
        <v>46</v>
      </c>
      <c r="S16" s="13" t="s">
        <v>46</v>
      </c>
      <c r="T16" s="12" t="s">
        <v>37</v>
      </c>
      <c r="U16" s="12" t="s">
        <v>33</v>
      </c>
      <c r="V16" s="12"/>
      <c r="X16" s="8">
        <f t="shared" si="0"/>
        <v>30000</v>
      </c>
    </row>
    <row r="17" spans="1:24" s="8" customFormat="1" ht="38.25">
      <c r="A17" s="9">
        <v>15</v>
      </c>
      <c r="B17" s="9" t="s">
        <v>91</v>
      </c>
      <c r="C17" s="10" t="s">
        <v>43</v>
      </c>
      <c r="D17" s="12" t="s">
        <v>44</v>
      </c>
      <c r="E17" s="9">
        <v>2</v>
      </c>
      <c r="F17" s="9">
        <v>360</v>
      </c>
      <c r="G17" s="12" t="s">
        <v>86</v>
      </c>
      <c r="H17" s="9" t="s">
        <v>45</v>
      </c>
      <c r="I17" s="12" t="s">
        <v>31</v>
      </c>
      <c r="J17" s="12" t="s">
        <v>32</v>
      </c>
      <c r="K17" s="13" t="s">
        <v>46</v>
      </c>
      <c r="L17" s="14" t="s">
        <v>46</v>
      </c>
      <c r="M17" s="13" t="s">
        <v>46</v>
      </c>
      <c r="N17" s="14" t="s">
        <v>46</v>
      </c>
      <c r="O17" s="13" t="s">
        <v>46</v>
      </c>
      <c r="P17" s="14" t="s">
        <v>46</v>
      </c>
      <c r="Q17" s="14" t="s">
        <v>46</v>
      </c>
      <c r="R17" s="14" t="s">
        <v>46</v>
      </c>
      <c r="S17" s="14" t="s">
        <v>46</v>
      </c>
      <c r="T17" s="12" t="s">
        <v>37</v>
      </c>
      <c r="U17" s="12" t="s">
        <v>33</v>
      </c>
      <c r="V17" s="12"/>
      <c r="X17" s="8">
        <f t="shared" si="0"/>
        <v>720</v>
      </c>
    </row>
    <row r="18" spans="1:24" s="8" customFormat="1" ht="38.25">
      <c r="A18" s="9">
        <v>16</v>
      </c>
      <c r="B18" s="9" t="s">
        <v>92</v>
      </c>
      <c r="C18" s="10" t="s">
        <v>43</v>
      </c>
      <c r="D18" s="12" t="s">
        <v>44</v>
      </c>
      <c r="E18" s="9">
        <v>2</v>
      </c>
      <c r="F18" s="9">
        <v>360</v>
      </c>
      <c r="G18" s="12" t="s">
        <v>90</v>
      </c>
      <c r="H18" s="9" t="s">
        <v>45</v>
      </c>
      <c r="I18" s="12" t="s">
        <v>31</v>
      </c>
      <c r="J18" s="12" t="s">
        <v>32</v>
      </c>
      <c r="K18" s="13" t="s">
        <v>46</v>
      </c>
      <c r="L18" s="14" t="s">
        <v>46</v>
      </c>
      <c r="M18" s="13" t="s">
        <v>46</v>
      </c>
      <c r="N18" s="14" t="s">
        <v>46</v>
      </c>
      <c r="O18" s="13" t="s">
        <v>46</v>
      </c>
      <c r="P18" s="14" t="s">
        <v>46</v>
      </c>
      <c r="Q18" s="14" t="s">
        <v>46</v>
      </c>
      <c r="R18" s="14" t="s">
        <v>46</v>
      </c>
      <c r="S18" s="14" t="s">
        <v>46</v>
      </c>
      <c r="T18" s="12" t="s">
        <v>37</v>
      </c>
      <c r="U18" s="12" t="s">
        <v>33</v>
      </c>
      <c r="V18" s="12"/>
      <c r="X18" s="8">
        <f t="shared" si="0"/>
        <v>720</v>
      </c>
    </row>
    <row r="19" spans="1:24" s="8" customFormat="1" ht="63.75">
      <c r="A19" s="5">
        <v>17</v>
      </c>
      <c r="B19" s="5" t="s">
        <v>93</v>
      </c>
      <c r="C19" s="6" t="s">
        <v>53</v>
      </c>
      <c r="D19" s="7" t="s">
        <v>94</v>
      </c>
      <c r="E19" s="5">
        <v>1</v>
      </c>
      <c r="F19" s="5">
        <v>5700</v>
      </c>
      <c r="G19" s="7" t="s">
        <v>29</v>
      </c>
      <c r="H19" s="5" t="s">
        <v>95</v>
      </c>
      <c r="I19" s="7" t="s">
        <v>31</v>
      </c>
      <c r="J19" s="7" t="s">
        <v>32</v>
      </c>
      <c r="K19" s="5">
        <v>4</v>
      </c>
      <c r="L19" s="7" t="s">
        <v>33</v>
      </c>
      <c r="M19" s="5">
        <v>400</v>
      </c>
      <c r="N19" s="7" t="s">
        <v>33</v>
      </c>
      <c r="O19" s="5" t="s">
        <v>34</v>
      </c>
      <c r="P19" s="7" t="s">
        <v>35</v>
      </c>
      <c r="Q19" s="7" t="s">
        <v>35</v>
      </c>
      <c r="R19" s="7" t="s">
        <v>36</v>
      </c>
      <c r="S19" s="7" t="s">
        <v>33</v>
      </c>
      <c r="T19" s="7" t="s">
        <v>37</v>
      </c>
      <c r="U19" s="7" t="s">
        <v>33</v>
      </c>
      <c r="V19" s="7"/>
      <c r="X19" s="8">
        <f t="shared" si="0"/>
        <v>5700</v>
      </c>
    </row>
    <row r="20" spans="1:24" s="8" customFormat="1" ht="63.75">
      <c r="A20" s="5">
        <v>18</v>
      </c>
      <c r="B20" s="5" t="s">
        <v>96</v>
      </c>
      <c r="C20" s="6" t="s">
        <v>69</v>
      </c>
      <c r="D20" s="7" t="s">
        <v>97</v>
      </c>
      <c r="E20" s="5">
        <v>1</v>
      </c>
      <c r="F20" s="5">
        <v>10912</v>
      </c>
      <c r="G20" s="7" t="s">
        <v>29</v>
      </c>
      <c r="H20" s="5" t="s">
        <v>98</v>
      </c>
      <c r="I20" s="7" t="s">
        <v>31</v>
      </c>
      <c r="J20" s="7" t="s">
        <v>32</v>
      </c>
      <c r="K20" s="5" t="s">
        <v>72</v>
      </c>
      <c r="L20" s="7" t="s">
        <v>33</v>
      </c>
      <c r="M20" s="5">
        <v>400</v>
      </c>
      <c r="N20" s="7" t="s">
        <v>33</v>
      </c>
      <c r="O20" s="5" t="s">
        <v>34</v>
      </c>
      <c r="P20" s="7" t="s">
        <v>35</v>
      </c>
      <c r="Q20" s="7" t="s">
        <v>35</v>
      </c>
      <c r="R20" s="7" t="s">
        <v>36</v>
      </c>
      <c r="S20" s="7" t="s">
        <v>33</v>
      </c>
      <c r="T20" s="7" t="s">
        <v>37</v>
      </c>
      <c r="U20" s="7" t="s">
        <v>33</v>
      </c>
      <c r="V20" s="7"/>
      <c r="X20" s="8">
        <f t="shared" si="0"/>
        <v>10912</v>
      </c>
    </row>
    <row r="21" spans="1:24" s="8" customFormat="1" ht="63.75">
      <c r="A21" s="5">
        <v>19</v>
      </c>
      <c r="B21" s="5" t="s">
        <v>99</v>
      </c>
      <c r="C21" s="6" t="s">
        <v>53</v>
      </c>
      <c r="D21" s="7" t="s">
        <v>100</v>
      </c>
      <c r="E21" s="5">
        <v>1</v>
      </c>
      <c r="F21" s="5">
        <v>3400</v>
      </c>
      <c r="G21" s="7" t="s">
        <v>29</v>
      </c>
      <c r="H21" s="5" t="s">
        <v>101</v>
      </c>
      <c r="I21" s="7" t="s">
        <v>31</v>
      </c>
      <c r="J21" s="7" t="s">
        <v>32</v>
      </c>
      <c r="K21" s="5">
        <v>3</v>
      </c>
      <c r="L21" s="7" t="s">
        <v>33</v>
      </c>
      <c r="M21" s="5">
        <v>400</v>
      </c>
      <c r="N21" s="7" t="s">
        <v>33</v>
      </c>
      <c r="O21" s="5" t="s">
        <v>34</v>
      </c>
      <c r="P21" s="7" t="s">
        <v>35</v>
      </c>
      <c r="Q21" s="7" t="s">
        <v>35</v>
      </c>
      <c r="R21" s="7" t="s">
        <v>36</v>
      </c>
      <c r="S21" s="7" t="s">
        <v>33</v>
      </c>
      <c r="T21" s="7" t="s">
        <v>37</v>
      </c>
      <c r="U21" s="7" t="s">
        <v>33</v>
      </c>
      <c r="V21" s="7"/>
      <c r="X21" s="8">
        <f t="shared" si="0"/>
        <v>3400</v>
      </c>
    </row>
    <row r="22" spans="1:24" s="8" customFormat="1" ht="63.75">
      <c r="A22" s="5">
        <v>20</v>
      </c>
      <c r="B22" s="5" t="s">
        <v>102</v>
      </c>
      <c r="C22" s="6" t="s">
        <v>53</v>
      </c>
      <c r="D22" s="7" t="s">
        <v>103</v>
      </c>
      <c r="E22" s="5">
        <v>1</v>
      </c>
      <c r="F22" s="5">
        <v>7500</v>
      </c>
      <c r="G22" s="7" t="s">
        <v>29</v>
      </c>
      <c r="H22" s="5" t="s">
        <v>104</v>
      </c>
      <c r="I22" s="7" t="s">
        <v>31</v>
      </c>
      <c r="J22" s="7" t="s">
        <v>32</v>
      </c>
      <c r="K22" s="5">
        <v>4</v>
      </c>
      <c r="L22" s="7" t="s">
        <v>33</v>
      </c>
      <c r="M22" s="5">
        <v>400</v>
      </c>
      <c r="N22" s="7" t="s">
        <v>33</v>
      </c>
      <c r="O22" s="5" t="s">
        <v>34</v>
      </c>
      <c r="P22" s="7" t="s">
        <v>35</v>
      </c>
      <c r="Q22" s="7" t="s">
        <v>35</v>
      </c>
      <c r="R22" s="7" t="s">
        <v>36</v>
      </c>
      <c r="S22" s="7" t="s">
        <v>33</v>
      </c>
      <c r="T22" s="7" t="s">
        <v>37</v>
      </c>
      <c r="U22" s="7" t="s">
        <v>33</v>
      </c>
      <c r="V22" s="7"/>
      <c r="X22" s="8">
        <f t="shared" si="0"/>
        <v>7500</v>
      </c>
    </row>
    <row r="23" spans="1:24" s="8" customFormat="1" ht="63.75">
      <c r="A23" s="5">
        <v>21</v>
      </c>
      <c r="B23" s="5" t="s">
        <v>105</v>
      </c>
      <c r="C23" s="6" t="s">
        <v>106</v>
      </c>
      <c r="D23" s="7" t="s">
        <v>107</v>
      </c>
      <c r="E23" s="5">
        <v>1</v>
      </c>
      <c r="F23" s="5">
        <v>3100</v>
      </c>
      <c r="G23" s="7" t="s">
        <v>29</v>
      </c>
      <c r="H23" s="5" t="s">
        <v>108</v>
      </c>
      <c r="I23" s="7" t="s">
        <v>31</v>
      </c>
      <c r="J23" s="7" t="s">
        <v>32</v>
      </c>
      <c r="K23" s="5" t="s">
        <v>109</v>
      </c>
      <c r="L23" s="7" t="s">
        <v>33</v>
      </c>
      <c r="M23" s="5">
        <v>400</v>
      </c>
      <c r="N23" s="7" t="s">
        <v>33</v>
      </c>
      <c r="O23" s="5" t="s">
        <v>34</v>
      </c>
      <c r="P23" s="7" t="s">
        <v>35</v>
      </c>
      <c r="Q23" s="7" t="s">
        <v>35</v>
      </c>
      <c r="R23" s="7" t="s">
        <v>36</v>
      </c>
      <c r="S23" s="7" t="s">
        <v>33</v>
      </c>
      <c r="T23" s="7" t="s">
        <v>37</v>
      </c>
      <c r="U23" s="7" t="s">
        <v>33</v>
      </c>
      <c r="V23" s="7"/>
      <c r="X23" s="8">
        <f t="shared" si="0"/>
        <v>3100</v>
      </c>
    </row>
    <row r="24" spans="1:24" s="8" customFormat="1" ht="63.75">
      <c r="A24" s="5">
        <v>22</v>
      </c>
      <c r="B24" s="5" t="s">
        <v>110</v>
      </c>
      <c r="C24" s="6" t="s">
        <v>53</v>
      </c>
      <c r="D24" s="7" t="s">
        <v>111</v>
      </c>
      <c r="E24" s="5">
        <v>1</v>
      </c>
      <c r="F24" s="5">
        <v>2450</v>
      </c>
      <c r="G24" s="7" t="s">
        <v>29</v>
      </c>
      <c r="H24" s="5" t="s">
        <v>112</v>
      </c>
      <c r="I24" s="7" t="s">
        <v>31</v>
      </c>
      <c r="J24" s="7" t="s">
        <v>32</v>
      </c>
      <c r="K24" s="5">
        <v>3</v>
      </c>
      <c r="L24" s="7" t="s">
        <v>33</v>
      </c>
      <c r="M24" s="5">
        <v>400</v>
      </c>
      <c r="N24" s="7" t="s">
        <v>33</v>
      </c>
      <c r="O24" s="5" t="s">
        <v>34</v>
      </c>
      <c r="P24" s="7" t="s">
        <v>35</v>
      </c>
      <c r="Q24" s="7" t="s">
        <v>35</v>
      </c>
      <c r="R24" s="7" t="s">
        <v>36</v>
      </c>
      <c r="S24" s="7" t="s">
        <v>33</v>
      </c>
      <c r="T24" s="7" t="s">
        <v>37</v>
      </c>
      <c r="U24" s="7" t="s">
        <v>33</v>
      </c>
      <c r="V24" s="7"/>
      <c r="X24" s="8">
        <f t="shared" si="0"/>
        <v>2450</v>
      </c>
    </row>
    <row r="25" spans="1:24" s="8" customFormat="1" ht="51">
      <c r="A25" s="5">
        <v>23</v>
      </c>
      <c r="B25" s="5" t="s">
        <v>113</v>
      </c>
      <c r="C25" s="6" t="s">
        <v>114</v>
      </c>
      <c r="D25" s="7" t="s">
        <v>115</v>
      </c>
      <c r="E25" s="5">
        <v>1</v>
      </c>
      <c r="F25" s="5">
        <v>80</v>
      </c>
      <c r="G25" s="7" t="s">
        <v>116</v>
      </c>
      <c r="H25" s="5" t="s">
        <v>117</v>
      </c>
      <c r="I25" s="7" t="s">
        <v>31</v>
      </c>
      <c r="J25" s="7" t="s">
        <v>32</v>
      </c>
      <c r="K25" s="5" t="s">
        <v>46</v>
      </c>
      <c r="L25" s="7" t="s">
        <v>46</v>
      </c>
      <c r="M25" s="5" t="s">
        <v>46</v>
      </c>
      <c r="N25" s="7" t="s">
        <v>46</v>
      </c>
      <c r="O25" s="5" t="s">
        <v>46</v>
      </c>
      <c r="P25" s="7" t="s">
        <v>46</v>
      </c>
      <c r="Q25" s="7" t="s">
        <v>46</v>
      </c>
      <c r="R25" s="7" t="s">
        <v>46</v>
      </c>
      <c r="S25" s="7" t="s">
        <v>46</v>
      </c>
      <c r="T25" s="7" t="s">
        <v>37</v>
      </c>
      <c r="U25" s="7" t="s">
        <v>33</v>
      </c>
      <c r="V25" s="7"/>
      <c r="X25" s="8">
        <f t="shared" si="0"/>
        <v>80</v>
      </c>
    </row>
    <row r="26" spans="1:24" s="8" customFormat="1" ht="51">
      <c r="A26" s="5">
        <v>24</v>
      </c>
      <c r="B26" s="5" t="s">
        <v>118</v>
      </c>
      <c r="C26" s="15" t="s">
        <v>114</v>
      </c>
      <c r="D26" s="7" t="s">
        <v>119</v>
      </c>
      <c r="E26" s="5">
        <v>1</v>
      </c>
      <c r="F26" s="5">
        <v>80</v>
      </c>
      <c r="G26" s="7" t="s">
        <v>116</v>
      </c>
      <c r="H26" s="5" t="s">
        <v>120</v>
      </c>
      <c r="I26" s="7" t="s">
        <v>31</v>
      </c>
      <c r="J26" s="7" t="s">
        <v>32</v>
      </c>
      <c r="K26" s="5" t="s">
        <v>46</v>
      </c>
      <c r="L26" s="7" t="s">
        <v>46</v>
      </c>
      <c r="M26" s="5" t="s">
        <v>46</v>
      </c>
      <c r="N26" s="7" t="s">
        <v>46</v>
      </c>
      <c r="O26" s="5" t="s">
        <v>46</v>
      </c>
      <c r="P26" s="7" t="s">
        <v>46</v>
      </c>
      <c r="Q26" s="7" t="s">
        <v>46</v>
      </c>
      <c r="R26" s="7" t="s">
        <v>46</v>
      </c>
      <c r="S26" s="7" t="s">
        <v>46</v>
      </c>
      <c r="T26" s="7" t="s">
        <v>37</v>
      </c>
      <c r="U26" s="7" t="s">
        <v>33</v>
      </c>
      <c r="V26" s="7"/>
      <c r="X26" s="8">
        <f t="shared" si="0"/>
        <v>80</v>
      </c>
    </row>
    <row r="27" spans="1:24" s="8" customFormat="1" ht="51">
      <c r="A27" s="5">
        <v>25</v>
      </c>
      <c r="B27" s="5" t="s">
        <v>121</v>
      </c>
      <c r="C27" s="15" t="s">
        <v>114</v>
      </c>
      <c r="D27" s="7" t="s">
        <v>115</v>
      </c>
      <c r="E27" s="5">
        <v>1</v>
      </c>
      <c r="F27" s="5">
        <v>80</v>
      </c>
      <c r="G27" s="7" t="s">
        <v>116</v>
      </c>
      <c r="H27" s="5" t="s">
        <v>117</v>
      </c>
      <c r="I27" s="7" t="s">
        <v>31</v>
      </c>
      <c r="J27" s="7" t="s">
        <v>32</v>
      </c>
      <c r="K27" s="5" t="s">
        <v>46</v>
      </c>
      <c r="L27" s="7" t="s">
        <v>46</v>
      </c>
      <c r="M27" s="5" t="s">
        <v>46</v>
      </c>
      <c r="N27" s="7" t="s">
        <v>46</v>
      </c>
      <c r="O27" s="5" t="s">
        <v>46</v>
      </c>
      <c r="P27" s="7" t="s">
        <v>46</v>
      </c>
      <c r="Q27" s="7" t="s">
        <v>46</v>
      </c>
      <c r="R27" s="7" t="s">
        <v>46</v>
      </c>
      <c r="S27" s="7" t="s">
        <v>46</v>
      </c>
      <c r="T27" s="7" t="s">
        <v>37</v>
      </c>
      <c r="U27" s="7" t="s">
        <v>33</v>
      </c>
      <c r="V27" s="7"/>
      <c r="X27" s="8">
        <f t="shared" si="0"/>
        <v>80</v>
      </c>
    </row>
    <row r="28" spans="1:24" ht="38.25">
      <c r="A28" s="5">
        <v>26</v>
      </c>
      <c r="B28" s="16" t="s">
        <v>122</v>
      </c>
      <c r="C28" s="17" t="s">
        <v>123</v>
      </c>
      <c r="D28" s="16" t="s">
        <v>124</v>
      </c>
      <c r="E28" s="18">
        <v>1</v>
      </c>
      <c r="F28" s="16">
        <v>24000</v>
      </c>
      <c r="G28" s="19" t="s">
        <v>125</v>
      </c>
      <c r="H28" s="16" t="s">
        <v>126</v>
      </c>
      <c r="I28" s="18" t="s">
        <v>31</v>
      </c>
      <c r="J28" s="18" t="s">
        <v>32</v>
      </c>
      <c r="K28" s="16">
        <v>7.1</v>
      </c>
      <c r="L28" s="16" t="s">
        <v>116</v>
      </c>
      <c r="M28" s="16">
        <v>400</v>
      </c>
      <c r="N28" s="18" t="s">
        <v>35</v>
      </c>
      <c r="O28" s="16" t="s">
        <v>34</v>
      </c>
      <c r="P28" s="18" t="s">
        <v>35</v>
      </c>
      <c r="Q28" s="18" t="s">
        <v>35</v>
      </c>
      <c r="R28" s="18" t="s">
        <v>36</v>
      </c>
      <c r="S28" s="18" t="s">
        <v>35</v>
      </c>
      <c r="T28" s="18" t="s">
        <v>37</v>
      </c>
      <c r="U28" s="18" t="s">
        <v>33</v>
      </c>
      <c r="V28" s="18"/>
      <c r="X28" s="8">
        <f t="shared" si="0"/>
        <v>24000</v>
      </c>
    </row>
    <row r="29" spans="1:24" ht="38.25">
      <c r="A29" s="5">
        <v>27</v>
      </c>
      <c r="B29" s="16" t="s">
        <v>127</v>
      </c>
      <c r="C29" s="17" t="s">
        <v>128</v>
      </c>
      <c r="D29" s="16" t="s">
        <v>129</v>
      </c>
      <c r="E29" s="18">
        <v>1</v>
      </c>
      <c r="F29" s="16">
        <v>4000</v>
      </c>
      <c r="G29" s="18" t="s">
        <v>130</v>
      </c>
      <c r="H29" s="16" t="s">
        <v>131</v>
      </c>
      <c r="I29" s="18" t="s">
        <v>31</v>
      </c>
      <c r="J29" s="18" t="s">
        <v>32</v>
      </c>
      <c r="K29" s="16">
        <v>90</v>
      </c>
      <c r="L29" s="18" t="s">
        <v>33</v>
      </c>
      <c r="M29" s="16">
        <v>400</v>
      </c>
      <c r="N29" s="18" t="s">
        <v>33</v>
      </c>
      <c r="O29" s="16" t="s">
        <v>34</v>
      </c>
      <c r="P29" s="18" t="s">
        <v>35</v>
      </c>
      <c r="Q29" s="18" t="s">
        <v>35</v>
      </c>
      <c r="R29" s="18" t="s">
        <v>36</v>
      </c>
      <c r="S29" s="18" t="s">
        <v>35</v>
      </c>
      <c r="T29" s="18" t="s">
        <v>37</v>
      </c>
      <c r="U29" s="18" t="s">
        <v>33</v>
      </c>
      <c r="V29" s="18"/>
      <c r="X29" s="8">
        <f t="shared" si="0"/>
        <v>4000</v>
      </c>
    </row>
    <row r="30" spans="1:24" ht="38.25">
      <c r="A30" s="5">
        <v>28</v>
      </c>
      <c r="B30" s="16" t="s">
        <v>132</v>
      </c>
      <c r="C30" s="17" t="s">
        <v>123</v>
      </c>
      <c r="D30" s="16" t="s">
        <v>133</v>
      </c>
      <c r="E30" s="18">
        <v>1</v>
      </c>
      <c r="F30" s="16">
        <v>15700</v>
      </c>
      <c r="G30" s="19" t="s">
        <v>125</v>
      </c>
      <c r="H30" s="16" t="s">
        <v>134</v>
      </c>
      <c r="I30" s="18" t="s">
        <v>31</v>
      </c>
      <c r="J30" s="18" t="s">
        <v>32</v>
      </c>
      <c r="K30" s="16">
        <v>7.1</v>
      </c>
      <c r="L30" s="16" t="s">
        <v>116</v>
      </c>
      <c r="M30" s="16">
        <v>400</v>
      </c>
      <c r="N30" s="18" t="s">
        <v>35</v>
      </c>
      <c r="O30" s="16" t="s">
        <v>34</v>
      </c>
      <c r="P30" s="18" t="s">
        <v>35</v>
      </c>
      <c r="Q30" s="18" t="s">
        <v>35</v>
      </c>
      <c r="R30" s="18" t="s">
        <v>36</v>
      </c>
      <c r="S30" s="18" t="s">
        <v>35</v>
      </c>
      <c r="T30" s="18" t="s">
        <v>37</v>
      </c>
      <c r="U30" s="18" t="s">
        <v>33</v>
      </c>
      <c r="V30" s="18"/>
      <c r="X30" s="8">
        <f t="shared" si="0"/>
        <v>15700</v>
      </c>
    </row>
    <row r="31" spans="1:24" ht="38.25">
      <c r="A31" s="5">
        <v>29</v>
      </c>
      <c r="B31" s="16" t="s">
        <v>135</v>
      </c>
      <c r="C31" s="17" t="s">
        <v>128</v>
      </c>
      <c r="D31" s="16" t="s">
        <v>136</v>
      </c>
      <c r="E31" s="18">
        <v>1</v>
      </c>
      <c r="F31" s="16">
        <v>3000</v>
      </c>
      <c r="G31" s="18" t="s">
        <v>130</v>
      </c>
      <c r="H31" s="16" t="s">
        <v>137</v>
      </c>
      <c r="I31" s="18" t="s">
        <v>31</v>
      </c>
      <c r="J31" s="18" t="s">
        <v>32</v>
      </c>
      <c r="K31" s="16">
        <v>55</v>
      </c>
      <c r="L31" s="18" t="s">
        <v>33</v>
      </c>
      <c r="M31" s="16">
        <v>400</v>
      </c>
      <c r="N31" s="18" t="s">
        <v>33</v>
      </c>
      <c r="O31" s="16" t="s">
        <v>34</v>
      </c>
      <c r="P31" s="18" t="s">
        <v>35</v>
      </c>
      <c r="Q31" s="18" t="s">
        <v>35</v>
      </c>
      <c r="R31" s="18" t="s">
        <v>36</v>
      </c>
      <c r="S31" s="18" t="s">
        <v>35</v>
      </c>
      <c r="T31" s="18" t="s">
        <v>37</v>
      </c>
      <c r="U31" s="18" t="s">
        <v>33</v>
      </c>
      <c r="V31" s="18"/>
      <c r="X31" s="8">
        <f t="shared" si="0"/>
        <v>3000</v>
      </c>
    </row>
    <row r="32" spans="1:24" s="8" customFormat="1" ht="63.75">
      <c r="A32" s="5">
        <v>30</v>
      </c>
      <c r="B32" s="5" t="s">
        <v>138</v>
      </c>
      <c r="C32" s="15" t="s">
        <v>48</v>
      </c>
      <c r="D32" s="7" t="s">
        <v>139</v>
      </c>
      <c r="E32" s="5">
        <v>4</v>
      </c>
      <c r="F32" s="5">
        <v>389</v>
      </c>
      <c r="G32" s="7" t="s">
        <v>29</v>
      </c>
      <c r="H32" s="5" t="s">
        <v>50</v>
      </c>
      <c r="I32" s="7" t="s">
        <v>31</v>
      </c>
      <c r="J32" s="7" t="s">
        <v>32</v>
      </c>
      <c r="K32" s="5" t="s">
        <v>51</v>
      </c>
      <c r="L32" s="7" t="s">
        <v>35</v>
      </c>
      <c r="M32" s="5">
        <v>400</v>
      </c>
      <c r="N32" s="7" t="s">
        <v>33</v>
      </c>
      <c r="O32" s="5" t="s">
        <v>34</v>
      </c>
      <c r="P32" s="7" t="s">
        <v>35</v>
      </c>
      <c r="Q32" s="7" t="s">
        <v>35</v>
      </c>
      <c r="R32" s="7" t="s">
        <v>36</v>
      </c>
      <c r="S32" s="7" t="s">
        <v>33</v>
      </c>
      <c r="T32" s="7" t="s">
        <v>37</v>
      </c>
      <c r="U32" s="7" t="s">
        <v>33</v>
      </c>
      <c r="V32" s="7"/>
      <c r="X32" s="8">
        <f t="shared" si="0"/>
        <v>1556</v>
      </c>
    </row>
    <row r="33" spans="5:24" ht="20.100000000000001" customHeight="1">
      <c r="E33" s="20">
        <f>SUM(E3:E32)</f>
        <v>45</v>
      </c>
    </row>
    <row r="35" spans="5:24" ht="20.100000000000001" customHeight="1">
      <c r="V35" s="21" t="s">
        <v>140</v>
      </c>
      <c r="W35" s="22"/>
      <c r="X35" s="23">
        <f>SUM(X3:X34)</f>
        <v>281396</v>
      </c>
    </row>
    <row r="36" spans="5:24" ht="20.100000000000001" customHeight="1">
      <c r="V36" s="24" t="s">
        <v>141</v>
      </c>
      <c r="W36" s="22"/>
      <c r="X36" s="23">
        <f>E33</f>
        <v>45</v>
      </c>
    </row>
  </sheetData>
  <autoFilter ref="A1:V33" xr:uid="{00000000-0009-0000-0000-000003000000}"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9" showButton="0"/>
  </autoFilter>
  <mergeCells count="14">
    <mergeCell ref="V1:V2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O1"/>
    <mergeCell ref="P1:S1"/>
    <mergeCell ref="T1:U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0407.130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Антон Белорусов</dc:creator>
  <cp:lastModifiedBy>Антон Белорусов</cp:lastModifiedBy>
  <dcterms:created xsi:type="dcterms:W3CDTF">2026-03-17T22:05:04Z</dcterms:created>
  <dcterms:modified xsi:type="dcterms:W3CDTF">2026-03-18T04:35:13Z</dcterms:modified>
</cp:coreProperties>
</file>